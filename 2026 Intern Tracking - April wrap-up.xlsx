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omments2.xml" ContentType="application/vnd.openxmlformats-officedocument.spreadsheetml.comments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en.yu\Downloads\"/>
    </mc:Choice>
  </mc:AlternateContent>
  <xr:revisionPtr revIDLastSave="0" documentId="13_ncr:1_{02756B2D-0DA4-4F49-BB3F-9AB01C4D05B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2026 EOM and Scores" sheetId="1" r:id="rId1"/>
    <sheet name="2025 EOM Declarations" sheetId="2" state="hidden" r:id="rId2"/>
    <sheet name="May Workshop Allocations" sheetId="3" state="hidden" r:id="rId3"/>
    <sheet name="Apr Workshop Allocations" sheetId="4" state="hidden" r:id="rId4"/>
    <sheet name="Mar Workshop Allocations" sheetId="5" state="hidden" r:id="rId5"/>
    <sheet name="2025 Topics Covered" sheetId="6" state="hidden" r:id="rId6"/>
  </sheets>
  <externalReferences>
    <externalReference r:id="rId7"/>
    <externalReference r:id="rId8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ffQuePe8iohWMRXJEHf9T36vi81dz5r/AFrS4Uw3htY="/>
    </ext>
  </extLst>
</workbook>
</file>

<file path=xl/calcChain.xml><?xml version="1.0" encoding="utf-8"?>
<calcChain xmlns="http://schemas.openxmlformats.org/spreadsheetml/2006/main">
  <c r="D64" i="4" l="1"/>
  <c r="C62" i="4"/>
  <c r="D62" i="4" s="1"/>
  <c r="D60" i="4"/>
  <c r="C60" i="4"/>
  <c r="C59" i="4"/>
  <c r="D59" i="4" s="1"/>
  <c r="C58" i="4"/>
  <c r="D58" i="4" s="1"/>
  <c r="D71" i="3"/>
  <c r="D69" i="3"/>
  <c r="C69" i="3"/>
  <c r="D67" i="3"/>
  <c r="C67" i="3"/>
  <c r="C66" i="3"/>
  <c r="D66" i="3" s="1"/>
  <c r="C65" i="3"/>
  <c r="D65" i="3" s="1"/>
  <c r="L59" i="2"/>
  <c r="K59" i="2"/>
  <c r="J59" i="2"/>
  <c r="I59" i="2"/>
  <c r="H59" i="2"/>
  <c r="G59" i="2"/>
  <c r="F59" i="2"/>
  <c r="E59" i="2"/>
  <c r="D59" i="2"/>
  <c r="L30" i="2"/>
  <c r="K30" i="2"/>
  <c r="J30" i="2"/>
  <c r="I30" i="2"/>
  <c r="H30" i="2"/>
  <c r="G30" i="2"/>
  <c r="F30" i="2"/>
  <c r="E30" i="2"/>
  <c r="D30" i="2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F16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L5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======
ID#AAAB6C3rNLE
tc={1CDC20B4-54DF-4E3A-8CC7-F6DC57D4DCCB}    (2026-05-09 23:38:28)
[Threaded comment]
Your version of Excel allows you to read this threaded comment; however, any edits to it will get removed if the file is opened in a newer version of Excel. Learn more: https://go.microsoft.com/fwlink/?linkid=870924
Comment:
    To be moderated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VKk7SFs+ivUefJnU6W8zuxlLk8Q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2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======
ID#AAAB6C3rNK8
tc={B573CF07-3F09-4DEF-9244-A60AC4D7E86F}    (2026-05-09 23:38:28)
[Threaded comment]
Your version of Excel allows you to read this threaded comment; however, any edits to it will get removed if the file is opened in a newer version of Excel. Learn more: https://go.microsoft.com/fwlink/?linkid=870924
Comment:
    Plugged in (Inconsistent)</t>
        </r>
      </text>
    </comment>
    <comment ref="K42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======
ID#AAAB6C3rNKs
tc={38F2135C-48AF-4E63-99B8-3BBF9B1D2902}    (2026-05-09 23:38:27)
[Threaded comment]
Your version of Excel allows you to read this threaded comment; however, any edits to it will get removed if the file is opened in a newer version of Excel. Learn more: https://go.microsoft.com/fwlink/?linkid=870924
Comment:
    Weekends - Plugged in</t>
        </r>
      </text>
    </comment>
    <comment ref="C43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======
ID#AAAB6C3rNKM
tc={A24714E9-9B64-4B7B-8123-FF6EAC83F7CE}    (2026-05-09 23:38:27)
[Threaded comment]
Your version of Excel allows you to read this threaded comment; however, any edits to it will get removed if the file is opened in a newer version of Excel. Learn more: https://go.microsoft.com/fwlink/?linkid=870924
Comment:
    Plugged in (Inconsistent)</t>
        </r>
      </text>
    </comment>
    <comment ref="D43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======
ID#AAAB6C3rNLA
tc={5B7D102D-4214-43C5-BFEB-D7FA3ABE8F85}    (2026-05-09 23:38:28)
[Threaded comment]
Your version of Excel allows you to read this threaded comment; however, any edits to it will get removed if the file is opened in a newer version of Excel. Learn more: https://go.microsoft.com/fwlink/?linkid=870924
Comment:
    Plugged in (Inconsistent)</t>
        </r>
      </text>
    </comment>
    <comment ref="K43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======
ID#AAAB6C3rNLU
tc={7E734A8E-411D-443D-B3C2-0BCEE725A823}    (2026-05-09 23:38:28)
[Threaded comment]
Your version of Excel allows you to read this threaded comment; however, any edits to it will get removed if the file is opened in a newer version of Excel. Learn more: https://go.microsoft.com/fwlink/?linkid=870924
Comment:
    Plugged in</t>
        </r>
      </text>
    </comment>
    <comment ref="K45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======
ID#AAAB6C3rNLQ
tc={1511B4E2-AE8D-4818-8A68-14C41A5931A2}    (2026-05-09 23:38:28)
[Threaded comment]
Your version of Excel allows you to read this threaded comment; however, any edits to it will get removed if the file is opened in a newer version of Excel. Learn more: https://go.microsoft.com/fwlink/?linkid=870924
Comment:
    Plugged in</t>
        </r>
      </text>
    </comment>
    <comment ref="M46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======
ID#AAAB6C3rNKo
tc={76C18FE5-8166-4D66-9E7D-03788ECCF9A1}    (2026-05-09 23:38:27)
[Threaded comment]
Your version of Excel allows you to read this threaded comment; however, any edits to it will get removed if the file is opened in a newer version of Excel. Learn more: https://go.microsoft.com/fwlink/?linkid=870924
Comment:
    Plugged in</t>
        </r>
      </text>
    </comment>
    <comment ref="M54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======
ID#AAAB6C3rNK4
tc={45762A68-1475-438E-B01A-E0089AC4895D}    (2026-05-09 23:38:28)
[Threaded comment]
Your version of Excel allows you to read this threaded comment; however, any edits to it will get removed if the file is opened in a newer version of Excel. Learn more: https://go.microsoft.com/fwlink/?linkid=870924
Comment:
    Plugged in</t>
        </r>
      </text>
    </comment>
    <comment ref="M55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======
ID#AAAB6C3rNKU
tc={33DC13DE-B244-4C42-9D5A-D9FA44FF30D2}    (2026-05-09 23:38:27)
[Threaded comment]
Your version of Excel allows you to read this threaded comment; however, any edits to it will get removed if the file is opened in a newer version of Excel. Learn more: https://go.microsoft.com/fwlink/?linkid=870924
Comment:
    Plugged in</t>
        </r>
      </text>
    </comment>
    <comment ref="M56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======
ID#AAAB6C3rNLc
tc={32117F17-3671-45AC-BA8A-10F042B0C810}    (2026-05-09 23:38:28)
[Threaded comment]
Your version of Excel allows you to read this threaded comment; however, any edits to it will get removed if the file is opened in a newer version of Excel. Learn more: https://go.microsoft.com/fwlink/?linkid=870924
Comment:
    Plugged in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9MASM4wZM4t/xuly9IR0rg5NGLA=="/>
    </ext>
  </extLst>
</comments>
</file>

<file path=xl/sharedStrings.xml><?xml version="1.0" encoding="utf-8"?>
<sst xmlns="http://schemas.openxmlformats.org/spreadsheetml/2006/main" count="2634" uniqueCount="701">
  <si>
    <t>Intern Name</t>
  </si>
  <si>
    <t>Branch</t>
  </si>
  <si>
    <t>Region</t>
  </si>
  <si>
    <t>Pathway</t>
  </si>
  <si>
    <t>Colour</t>
  </si>
  <si>
    <t>1st Aid</t>
  </si>
  <si>
    <t>Vac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</si>
  <si>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</si>
  <si>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</si>
  <si>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</si>
  <si>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</si>
  <si>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</si>
  <si>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</si>
  <si>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</si>
  <si>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</si>
  <si>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</si>
  <si>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EOY</t>
  </si>
  <si>
    <t>Oct</t>
  </si>
  <si>
    <t>Abhishek Sharma </t>
  </si>
  <si>
    <t>Centre Place</t>
  </si>
  <si>
    <t>NonREQR</t>
  </si>
  <si>
    <t>Yes</t>
  </si>
  <si>
    <t>Pending</t>
  </si>
  <si>
    <t>Not Done</t>
  </si>
  <si>
    <t>N/A</t>
  </si>
  <si>
    <t>1/3</t>
  </si>
  <si>
    <t>Alyssa Andres</t>
  </si>
  <si>
    <t>Blenheim Square</t>
  </si>
  <si>
    <t>3/3</t>
  </si>
  <si>
    <t>2/3</t>
  </si>
  <si>
    <t>Amalnath Sadanandan</t>
  </si>
  <si>
    <t>Springlands</t>
  </si>
  <si>
    <t>No</t>
  </si>
  <si>
    <t>Amrutha Chelath</t>
  </si>
  <si>
    <t>Ormiston</t>
  </si>
  <si>
    <t>Angel Paul</t>
  </si>
  <si>
    <t>Bethlehem</t>
  </si>
  <si>
    <t>Ann (Lorieall) Sureta</t>
  </si>
  <si>
    <t>Fraser Cove</t>
  </si>
  <si>
    <t>Annissa Izham</t>
  </si>
  <si>
    <t>Lambton Quay</t>
  </si>
  <si>
    <t>Otago</t>
  </si>
  <si>
    <t>Anumol Paulose</t>
  </si>
  <si>
    <t>Ayesha Tabinda</t>
  </si>
  <si>
    <t xml:space="preserve">Taupo </t>
  </si>
  <si>
    <t>Aziza Shawudun</t>
  </si>
  <si>
    <t>Auckland - Lower Queen St</t>
  </si>
  <si>
    <t>Auckland</t>
  </si>
  <si>
    <t>0/3</t>
  </si>
  <si>
    <t>Chinwe Stella Melifonwu</t>
  </si>
  <si>
    <t>The Valley</t>
  </si>
  <si>
    <t>Crystal (Jooeun) Yi</t>
  </si>
  <si>
    <t>The Palms</t>
  </si>
  <si>
    <t>Ella (Jinghan) Wang</t>
  </si>
  <si>
    <t>Ehsan Etemad Kasaeian</t>
  </si>
  <si>
    <t>Warkworth</t>
  </si>
  <si>
    <t>Farhana Naureen Anwar</t>
  </si>
  <si>
    <t>Frances Diana Encarnacion</t>
  </si>
  <si>
    <t>Henderson</t>
  </si>
  <si>
    <t>Fylgia Romero</t>
  </si>
  <si>
    <t>South City Shopping Centre</t>
  </si>
  <si>
    <t>Greeshma Raj</t>
  </si>
  <si>
    <t>Gyan (Roger) Ilarde Lumo</t>
  </si>
  <si>
    <t xml:space="preserve">Hana Nazim </t>
  </si>
  <si>
    <t>Hunters Plaza</t>
  </si>
  <si>
    <t>Hanna Simon</t>
  </si>
  <si>
    <t>Okara Park</t>
  </si>
  <si>
    <t xml:space="preserve">Hardik Ahuja </t>
  </si>
  <si>
    <t>Papanui</t>
  </si>
  <si>
    <t>Hatem</t>
  </si>
  <si>
    <t>Bayfair</t>
  </si>
  <si>
    <t xml:space="preserve">Howard Liu </t>
  </si>
  <si>
    <t>Rolleston</t>
  </si>
  <si>
    <t>Janet Jomon</t>
  </si>
  <si>
    <t>Jasmin Jomon</t>
  </si>
  <si>
    <t>LynnMall</t>
  </si>
  <si>
    <t>Jay (Zhijian) Wang</t>
  </si>
  <si>
    <t>Glenfield Mall</t>
  </si>
  <si>
    <t>Jenny (Zhixin) Yan</t>
  </si>
  <si>
    <t>Chartwell</t>
  </si>
  <si>
    <t xml:space="preserve">Jessie (Jiyun) Jung </t>
  </si>
  <si>
    <t>Wairau Valley</t>
  </si>
  <si>
    <t>Ji Hee Jeong</t>
  </si>
  <si>
    <t>Sylvia Park</t>
  </si>
  <si>
    <t>Joanne Cao</t>
  </si>
  <si>
    <t>Botany</t>
  </si>
  <si>
    <t>Kamran Ghnbari</t>
  </si>
  <si>
    <t>Rotorua</t>
  </si>
  <si>
    <t>Kathleen Gomez</t>
  </si>
  <si>
    <t>Kisal Lewanjith Bogahakumbura Bogahakumbure</t>
  </si>
  <si>
    <t>Laurence Richard Gaboy</t>
  </si>
  <si>
    <t>The Zone</t>
  </si>
  <si>
    <t xml:space="preserve">Leah Bunales </t>
  </si>
  <si>
    <t>Botany Town Centre</t>
  </si>
  <si>
    <t>Marvelous (Moradeke) Adesina</t>
  </si>
  <si>
    <t>Michael Mories Hanna</t>
  </si>
  <si>
    <t>Mingxin Mei</t>
  </si>
  <si>
    <t>Pakuranga</t>
  </si>
  <si>
    <t>Mohammed Galaleldin Elsayed Omar</t>
  </si>
  <si>
    <t>Mukta Batra</t>
  </si>
  <si>
    <t>St Lukes</t>
  </si>
  <si>
    <t>Return to Practice</t>
  </si>
  <si>
    <t>Nehalben Narendrabhai Patel</t>
  </si>
  <si>
    <t>Nidhi Jariwala</t>
  </si>
  <si>
    <t>Onehunga</t>
  </si>
  <si>
    <t>Niyati Shah</t>
  </si>
  <si>
    <t>Glen Innes</t>
  </si>
  <si>
    <t>Patty (Edda Patricia) Santos</t>
  </si>
  <si>
    <t>Westgate</t>
  </si>
  <si>
    <t>Philippe Koo</t>
  </si>
  <si>
    <t>Birkenhead</t>
  </si>
  <si>
    <t>Phylicia Chong</t>
  </si>
  <si>
    <t>Albany</t>
  </si>
  <si>
    <t xml:space="preserve">Rahul Kumar Pandey </t>
  </si>
  <si>
    <t>Kilbirnie</t>
  </si>
  <si>
    <t>Rasheema Savad</t>
  </si>
  <si>
    <t>Whanganui</t>
  </si>
  <si>
    <t>Rekha Paily</t>
  </si>
  <si>
    <t>Browns Bay</t>
  </si>
  <si>
    <t xml:space="preserve">Rica Mae Estillore </t>
  </si>
  <si>
    <t>Rio Marielle Booc</t>
  </si>
  <si>
    <t xml:space="preserve">Sadaf Ahmad </t>
  </si>
  <si>
    <t>Sai Chakrahari</t>
  </si>
  <si>
    <t>Westfield Newmarket</t>
  </si>
  <si>
    <t>Samuel (Dong Yeon) Jung</t>
  </si>
  <si>
    <t>Savitha Venukuttan Nair</t>
  </si>
  <si>
    <t>Porirua</t>
  </si>
  <si>
    <t>Sharulatha Velmurugan</t>
  </si>
  <si>
    <t>Sonia Alex</t>
  </si>
  <si>
    <t>Stacey Ji Soo Lee</t>
  </si>
  <si>
    <t>Victor Onyirioha</t>
  </si>
  <si>
    <t>Wonje Lee</t>
  </si>
  <si>
    <t xml:space="preserve">Xin Pei Tay </t>
  </si>
  <si>
    <t xml:space="preserve">Ronwood Centre </t>
  </si>
  <si>
    <t>Yakeshkumar Pravinchandra Modi</t>
  </si>
  <si>
    <t>Hastings</t>
  </si>
  <si>
    <t>Yi Rou Lim</t>
  </si>
  <si>
    <t>Yuvraj Chaudary Kewal</t>
  </si>
  <si>
    <t>Flat Bush</t>
  </si>
  <si>
    <t xml:space="preserve">Zeh Yee Yau </t>
  </si>
  <si>
    <t>The Base</t>
  </si>
  <si>
    <t>Zhi Qi Wong</t>
  </si>
  <si>
    <t xml:space="preserve">Cambridge </t>
  </si>
  <si>
    <t>Mock</t>
  </si>
  <si>
    <t>Abdelaziz Adjali</t>
  </si>
  <si>
    <t>Milford</t>
  </si>
  <si>
    <t>Aidhal Varghese</t>
  </si>
  <si>
    <t>Akshayaa Sribaskaran</t>
  </si>
  <si>
    <t>Alexander Almazar</t>
  </si>
  <si>
    <t>Amisha Prasad</t>
  </si>
  <si>
    <t>Dijo Dias</t>
  </si>
  <si>
    <t>Elizabeth Victoria Lowe</t>
  </si>
  <si>
    <t>Lower Queen St</t>
  </si>
  <si>
    <t>Hanna Teklehaimanot</t>
  </si>
  <si>
    <t>Hina Saeed</t>
  </si>
  <si>
    <t>Airport SC</t>
  </si>
  <si>
    <t>Jordon Long Lay</t>
  </si>
  <si>
    <t>Newmarket</t>
  </si>
  <si>
    <t>(2/3)</t>
  </si>
  <si>
    <t>Kalpani Siriwardane</t>
  </si>
  <si>
    <t>Lucas Lin</t>
  </si>
  <si>
    <t>Silverdale</t>
  </si>
  <si>
    <t xml:space="preserve">Mar Jie Khaw </t>
  </si>
  <si>
    <t>Maria Sajeev Padathil</t>
  </si>
  <si>
    <t>Ngee Koon (Nicole) Cheong</t>
  </si>
  <si>
    <t>Polina Kim</t>
  </si>
  <si>
    <t>St Luke's</t>
  </si>
  <si>
    <t>Raadhna Ramnee</t>
  </si>
  <si>
    <t>Manukau</t>
  </si>
  <si>
    <t>Rachael Low</t>
  </si>
  <si>
    <t>Rebecca Qi Yu</t>
  </si>
  <si>
    <t>Sandra Angeles Aylas</t>
  </si>
  <si>
    <t>Sandra Davis</t>
  </si>
  <si>
    <t>Sarah Cho</t>
  </si>
  <si>
    <t>Seung Joo (Willy) Kwon</t>
  </si>
  <si>
    <t>Shu Ying (Kelly) Chen</t>
  </si>
  <si>
    <t>Thomas Wilson</t>
  </si>
  <si>
    <t>Tomoko Iwata</t>
  </si>
  <si>
    <t>(1/3)</t>
  </si>
  <si>
    <t>Yi Heng Chong</t>
  </si>
  <si>
    <t>Total</t>
  </si>
  <si>
    <t>Regional</t>
  </si>
  <si>
    <t>Aaron Loh</t>
  </si>
  <si>
    <t>South City</t>
  </si>
  <si>
    <t>Andrea Po</t>
  </si>
  <si>
    <t>Anjitha Mathew</t>
  </si>
  <si>
    <t>Bianca Shan</t>
  </si>
  <si>
    <t>Farisha Hussein</t>
  </si>
  <si>
    <t>Meridian Mall</t>
  </si>
  <si>
    <t>Gopika Kumar</t>
  </si>
  <si>
    <t>Islam Fatouh</t>
  </si>
  <si>
    <t>Jackson Whitmore</t>
  </si>
  <si>
    <t xml:space="preserve">Jannylene Chua </t>
  </si>
  <si>
    <t>Josephine Go</t>
  </si>
  <si>
    <t>Juliet Chinelo</t>
  </si>
  <si>
    <t xml:space="preserve">Kirankumar Adepu </t>
  </si>
  <si>
    <t>Liju Joy</t>
  </si>
  <si>
    <t>Lindsay Konsane</t>
  </si>
  <si>
    <t>Nethania Tejones</t>
  </si>
  <si>
    <t>Pauline Calar</t>
  </si>
  <si>
    <t>Ponayi Chitaka</t>
  </si>
  <si>
    <t>Pounamu Keepa</t>
  </si>
  <si>
    <t>Raziel Manuel</t>
  </si>
  <si>
    <t>Ryan Son</t>
  </si>
  <si>
    <t>Saja Sabbahin</t>
  </si>
  <si>
    <t xml:space="preserve">Sara Jitty Mathew </t>
  </si>
  <si>
    <t>Sunaina Kumar</t>
  </si>
  <si>
    <t>Vishnu Palakkal</t>
  </si>
  <si>
    <t>Online</t>
  </si>
  <si>
    <t>Condition / Medicine</t>
  </si>
  <si>
    <t>Intern 1</t>
  </si>
  <si>
    <t>Intern 2</t>
  </si>
  <si>
    <t>Intern 3</t>
  </si>
  <si>
    <t>Intern 4</t>
  </si>
  <si>
    <t>Depression</t>
  </si>
  <si>
    <t xml:space="preserve">Frances </t>
  </si>
  <si>
    <t>Mo (Omar)</t>
  </si>
  <si>
    <t>Kat</t>
  </si>
  <si>
    <t>Phylicia</t>
  </si>
  <si>
    <t>Amalnath</t>
  </si>
  <si>
    <t>Schizophrenia</t>
  </si>
  <si>
    <t xml:space="preserve"> Jay</t>
  </si>
  <si>
    <t xml:space="preserve">Niyati </t>
  </si>
  <si>
    <t>Philippe</t>
  </si>
  <si>
    <t>Yi Rou</t>
  </si>
  <si>
    <t>Angel</t>
  </si>
  <si>
    <t>Bipolar Disorder</t>
  </si>
  <si>
    <t>Ji Hee</t>
  </si>
  <si>
    <t>Sai</t>
  </si>
  <si>
    <t>Sam</t>
  </si>
  <si>
    <t>Ehsan</t>
  </si>
  <si>
    <t>Ann</t>
  </si>
  <si>
    <t>ADHD</t>
  </si>
  <si>
    <t>Joanne</t>
  </si>
  <si>
    <t>Laurence</t>
  </si>
  <si>
    <t>Xin Pei</t>
  </si>
  <si>
    <t>-</t>
  </si>
  <si>
    <t>Anumol</t>
  </si>
  <si>
    <t>Insomnia</t>
  </si>
  <si>
    <t xml:space="preserve">Leah </t>
  </si>
  <si>
    <t xml:space="preserve">Jessie </t>
  </si>
  <si>
    <t>Patty</t>
  </si>
  <si>
    <t>Ayesha</t>
  </si>
  <si>
    <t>Gout</t>
  </si>
  <si>
    <t>Aziza</t>
  </si>
  <si>
    <t>Rica</t>
  </si>
  <si>
    <t>Amrutha</t>
  </si>
  <si>
    <t>Chinwe</t>
  </si>
  <si>
    <t>Chinwe Stella Melifonqu</t>
  </si>
  <si>
    <r>
      <rPr>
        <b/>
        <sz val="11"/>
        <color rgb="FF7030A0"/>
        <rFont val="Calibri"/>
        <family val="2"/>
      </rPr>
      <t>Sprains and Strains</t>
    </r>
    <r>
      <rPr>
        <sz val="11"/>
        <color theme="1"/>
        <rFont val="Calibri"/>
        <family val="2"/>
      </rPr>
      <t xml:space="preserve"> + </t>
    </r>
    <r>
      <rPr>
        <b/>
        <sz val="11"/>
        <color rgb="FF00B050"/>
        <rFont val="Calibri"/>
        <family val="2"/>
      </rPr>
      <t>Diclofenac 25mg</t>
    </r>
  </si>
  <si>
    <t>Jasmin</t>
  </si>
  <si>
    <t>Sadaf</t>
  </si>
  <si>
    <t xml:space="preserve">Hana </t>
  </si>
  <si>
    <r>
      <rPr>
        <b/>
        <sz val="11"/>
        <color rgb="FF7030A0"/>
        <rFont val="Calibri"/>
        <family val="2"/>
      </rPr>
      <t>Sprains and Strains</t>
    </r>
    <r>
      <rPr>
        <sz val="11"/>
        <color theme="1"/>
        <rFont val="Calibri"/>
        <family val="2"/>
      </rPr>
      <t xml:space="preserve"> + </t>
    </r>
    <r>
      <rPr>
        <b/>
        <sz val="11"/>
        <color rgb="FF00B050"/>
        <rFont val="Calibri"/>
        <family val="2"/>
      </rPr>
      <t>Diclofenac 25mg</t>
    </r>
  </si>
  <si>
    <t>Farhana</t>
  </si>
  <si>
    <t>Rheumatoid Arthritis</t>
  </si>
  <si>
    <t xml:space="preserve">Marvelous </t>
  </si>
  <si>
    <t>Yuvraj</t>
  </si>
  <si>
    <t xml:space="preserve">Mukta </t>
  </si>
  <si>
    <t>Hanna</t>
  </si>
  <si>
    <r>
      <rPr>
        <b/>
        <sz val="11"/>
        <color rgb="FF7030A0"/>
        <rFont val="Calibri"/>
        <family val="2"/>
      </rPr>
      <t>Osteoarthritis</t>
    </r>
    <r>
      <rPr>
        <sz val="11"/>
        <color theme="1"/>
        <rFont val="Calibri"/>
        <family val="2"/>
      </rPr>
      <t xml:space="preserve"> + </t>
    </r>
    <r>
      <rPr>
        <b/>
        <sz val="11"/>
        <color rgb="FF00B050"/>
        <rFont val="Calibri"/>
        <family val="2"/>
      </rPr>
      <t>Panadol Osteo</t>
    </r>
  </si>
  <si>
    <t>Mingxin</t>
  </si>
  <si>
    <t>Rekha</t>
  </si>
  <si>
    <t xml:space="preserve">Nidhi </t>
  </si>
  <si>
    <r>
      <rPr>
        <b/>
        <sz val="11"/>
        <color rgb="FF7030A0"/>
        <rFont val="Calibri"/>
        <family val="2"/>
      </rPr>
      <t>Osteoarthritis</t>
    </r>
    <r>
      <rPr>
        <sz val="11"/>
        <color theme="1"/>
        <rFont val="Calibri"/>
        <family val="2"/>
      </rPr>
      <t xml:space="preserve"> + </t>
    </r>
    <r>
      <rPr>
        <b/>
        <sz val="11"/>
        <color rgb="FF00B050"/>
        <rFont val="Calibri"/>
        <family val="2"/>
      </rPr>
      <t>Panadol Osteo</t>
    </r>
  </si>
  <si>
    <t>Janet</t>
  </si>
  <si>
    <t>Kisal</t>
  </si>
  <si>
    <t>Tauranga</t>
  </si>
  <si>
    <t>Michael</t>
  </si>
  <si>
    <t>Michael Mories</t>
  </si>
  <si>
    <t>Mo</t>
  </si>
  <si>
    <t>Alyssa</t>
  </si>
  <si>
    <t>Abhishek</t>
  </si>
  <si>
    <t>Nehal</t>
  </si>
  <si>
    <t>Crystal</t>
  </si>
  <si>
    <t>Gyan</t>
  </si>
  <si>
    <t>Kamran</t>
  </si>
  <si>
    <t>Rasheema</t>
  </si>
  <si>
    <t>Greeshma</t>
  </si>
  <si>
    <t>Jenny</t>
  </si>
  <si>
    <t>Ann (Lorieall)</t>
  </si>
  <si>
    <t>Sharu</t>
  </si>
  <si>
    <t>Fylgia</t>
  </si>
  <si>
    <t>Rio</t>
  </si>
  <si>
    <t>Annissa</t>
  </si>
  <si>
    <t>Victor</t>
  </si>
  <si>
    <t>Ella</t>
  </si>
  <si>
    <t xml:space="preserve">Zeh Yee </t>
  </si>
  <si>
    <t>Nehalben</t>
  </si>
  <si>
    <t>Yakesh</t>
  </si>
  <si>
    <t xml:space="preserve">Hardik </t>
  </si>
  <si>
    <t>Zhi Qi</t>
  </si>
  <si>
    <t>Rahul</t>
  </si>
  <si>
    <r>
      <rPr>
        <b/>
        <sz val="11"/>
        <color rgb="FF7030A0"/>
        <rFont val="Calibri"/>
        <family val="2"/>
      </rPr>
      <t>Sprains and Strains</t>
    </r>
    <r>
      <rPr>
        <sz val="11"/>
        <color theme="1"/>
        <rFont val="Calibri"/>
        <family val="2"/>
      </rPr>
      <t xml:space="preserve"> + </t>
    </r>
    <r>
      <rPr>
        <b/>
        <sz val="11"/>
        <color rgb="FF00B050"/>
        <rFont val="Calibri"/>
        <family val="2"/>
      </rPr>
      <t>Diclofenac 25mg</t>
    </r>
  </si>
  <si>
    <t xml:space="preserve">Howard </t>
  </si>
  <si>
    <t>Sonia</t>
  </si>
  <si>
    <r>
      <rPr>
        <b/>
        <sz val="11"/>
        <color rgb="FF7030A0"/>
        <rFont val="Calibri"/>
        <family val="2"/>
      </rPr>
      <t>Sprains and Strains</t>
    </r>
    <r>
      <rPr>
        <sz val="11"/>
        <color theme="1"/>
        <rFont val="Calibri"/>
        <family val="2"/>
      </rPr>
      <t xml:space="preserve"> + </t>
    </r>
    <r>
      <rPr>
        <b/>
        <sz val="11"/>
        <color rgb="FF00B050"/>
        <rFont val="Calibri"/>
        <family val="2"/>
      </rPr>
      <t>Diclofenac 25mg</t>
    </r>
  </si>
  <si>
    <t>Wonje</t>
  </si>
  <si>
    <t>Stacey</t>
  </si>
  <si>
    <t>Savitha</t>
  </si>
  <si>
    <r>
      <rPr>
        <b/>
        <sz val="11"/>
        <color rgb="FF7030A0"/>
        <rFont val="Calibri"/>
        <family val="2"/>
      </rPr>
      <t>Osteoarthritis</t>
    </r>
    <r>
      <rPr>
        <sz val="11"/>
        <color theme="1"/>
        <rFont val="Calibri"/>
        <family val="2"/>
      </rPr>
      <t xml:space="preserve"> + </t>
    </r>
    <r>
      <rPr>
        <b/>
        <sz val="11"/>
        <color rgb="FF00B050"/>
        <rFont val="Calibri"/>
        <family val="2"/>
      </rPr>
      <t>Panadol Osteo</t>
    </r>
  </si>
  <si>
    <t>Yakeshkumar</t>
  </si>
  <si>
    <t>Sharulatha</t>
  </si>
  <si>
    <r>
      <rPr>
        <b/>
        <sz val="11"/>
        <color rgb="FF7030A0"/>
        <rFont val="Calibri"/>
        <family val="2"/>
      </rPr>
      <t>Osteoarthritis</t>
    </r>
    <r>
      <rPr>
        <sz val="11"/>
        <color theme="1"/>
        <rFont val="Calibri"/>
        <family val="2"/>
      </rPr>
      <t xml:space="preserve"> + </t>
    </r>
    <r>
      <rPr>
        <b/>
        <sz val="11"/>
        <color rgb="FF00B050"/>
        <rFont val="Calibri"/>
        <family val="2"/>
      </rPr>
      <t>Panadol Osteo</t>
    </r>
  </si>
  <si>
    <t>Hamilton</t>
  </si>
  <si>
    <t>Wellington</t>
  </si>
  <si>
    <r>
      <rPr>
        <b/>
        <sz val="11"/>
        <color rgb="FF7030A0"/>
        <rFont val="Calibri"/>
        <family val="2"/>
      </rPr>
      <t>Sprains and Strains</t>
    </r>
    <r>
      <rPr>
        <sz val="11"/>
        <color theme="1"/>
        <rFont val="Calibri"/>
        <family val="2"/>
      </rPr>
      <t xml:space="preserve"> + </t>
    </r>
    <r>
      <rPr>
        <b/>
        <sz val="11"/>
        <color rgb="FF00B050"/>
        <rFont val="Calibri"/>
        <family val="2"/>
      </rPr>
      <t>Diclofenac 25mg</t>
    </r>
  </si>
  <si>
    <r>
      <rPr>
        <b/>
        <sz val="11"/>
        <color rgb="FF7030A0"/>
        <rFont val="Calibri"/>
        <family val="2"/>
      </rPr>
      <t>Sprains and Strains</t>
    </r>
    <r>
      <rPr>
        <sz val="11"/>
        <color theme="1"/>
        <rFont val="Calibri"/>
        <family val="2"/>
      </rPr>
      <t xml:space="preserve"> + </t>
    </r>
    <r>
      <rPr>
        <b/>
        <sz val="11"/>
        <color rgb="FF00B050"/>
        <rFont val="Calibri"/>
        <family val="2"/>
      </rPr>
      <t>Diclofenac 25mg</t>
    </r>
  </si>
  <si>
    <r>
      <rPr>
        <b/>
        <sz val="11"/>
        <color rgb="FF7030A0"/>
        <rFont val="Calibri"/>
        <family val="2"/>
      </rPr>
      <t>Osteoarthritis</t>
    </r>
    <r>
      <rPr>
        <sz val="11"/>
        <color theme="1"/>
        <rFont val="Calibri"/>
        <family val="2"/>
      </rPr>
      <t xml:space="preserve"> + </t>
    </r>
    <r>
      <rPr>
        <b/>
        <sz val="11"/>
        <color rgb="FF00B050"/>
        <rFont val="Calibri"/>
        <family val="2"/>
      </rPr>
      <t>Panadol Osteo</t>
    </r>
  </si>
  <si>
    <r>
      <rPr>
        <b/>
        <sz val="11"/>
        <color rgb="FF7030A0"/>
        <rFont val="Calibri"/>
        <family val="2"/>
      </rPr>
      <t>Osteoarthritis</t>
    </r>
    <r>
      <rPr>
        <sz val="11"/>
        <color theme="1"/>
        <rFont val="Calibri"/>
        <family val="2"/>
      </rPr>
      <t xml:space="preserve"> + </t>
    </r>
    <r>
      <rPr>
        <b/>
        <sz val="11"/>
        <color rgb="FF00B050"/>
        <rFont val="Calibri"/>
        <family val="2"/>
      </rPr>
      <t>Panadol Osteo</t>
    </r>
  </si>
  <si>
    <t>NRE Frances Diana Encarnacion</t>
  </si>
  <si>
    <t>NRE Mohammed Galaleldin Elsayed Omar</t>
  </si>
  <si>
    <t>NRE Kathleen Gomez</t>
  </si>
  <si>
    <t>DOM Aziza Shawudun</t>
  </si>
  <si>
    <t>DOM Jay (Zhijian) Wang</t>
  </si>
  <si>
    <t>NRE Niyati Shah</t>
  </si>
  <si>
    <t>NRE Philippe Koo</t>
  </si>
  <si>
    <t>NRE Jasmin Jomon</t>
  </si>
  <si>
    <t>NRE Amrutha Chelath</t>
  </si>
  <si>
    <t>DOM Ji Hee Jeong</t>
  </si>
  <si>
    <t>DOM Sai Chakrahari</t>
  </si>
  <si>
    <t>DOM Samuel (Dong Yeon) Jung</t>
  </si>
  <si>
    <t>DOM Marvelous (Moradeke) Adesina</t>
  </si>
  <si>
    <t xml:space="preserve">NRE Hana Nazim </t>
  </si>
  <si>
    <t>DOM Annissa Izham</t>
  </si>
  <si>
    <t>NRE Nehalben Narendrabhai Patel</t>
  </si>
  <si>
    <t>DOM Joanne Cao</t>
  </si>
  <si>
    <t>NRE Laurence Richard Gaboy</t>
  </si>
  <si>
    <t xml:space="preserve">DOM Xin Pei Tay </t>
  </si>
  <si>
    <t>DOM Mingxin Mei</t>
  </si>
  <si>
    <t>RTP Mukta Batra</t>
  </si>
  <si>
    <t>NRE Farhana Naureen Anwar</t>
  </si>
  <si>
    <t>NRE Abhishek Sharma</t>
  </si>
  <si>
    <t>NRE Angel Paul</t>
  </si>
  <si>
    <t xml:space="preserve">NRE Leah Bunales </t>
  </si>
  <si>
    <t>DOM Jessie (Jiyun) Jung</t>
  </si>
  <si>
    <t>NRE Patty Santos</t>
  </si>
  <si>
    <t xml:space="preserve">NRE Rica Mae Estillore </t>
  </si>
  <si>
    <t>NRE Nidhi Jariwala</t>
  </si>
  <si>
    <t>NRE Kisal Lewanjith Bogahakumbura Bogahakumbure</t>
  </si>
  <si>
    <t>NRE Ann (Lorieall) Sureta</t>
  </si>
  <si>
    <t>NRE Anumol Paulose</t>
  </si>
  <si>
    <t>NRE Rasheema Savad</t>
  </si>
  <si>
    <t>NRE Chinwe Stella Nelifonqu</t>
  </si>
  <si>
    <t>NRE Ayesha Tabinda</t>
  </si>
  <si>
    <t>DOM Phylicia Chong</t>
  </si>
  <si>
    <t>NRE Yakeshkumar Pravinchandra Modi</t>
  </si>
  <si>
    <t>NRE Kamran Ghnbari</t>
  </si>
  <si>
    <t>DOM Gyan (Roger) Ilarde Lumo</t>
  </si>
  <si>
    <t>NRE Rekha Paily</t>
  </si>
  <si>
    <t>NRE Michael Mories</t>
  </si>
  <si>
    <t>NRE Sonia Alex</t>
  </si>
  <si>
    <t xml:space="preserve">DOM Sadaf Ahmad </t>
  </si>
  <si>
    <t>DOM Jenny (Zhixin) Yan</t>
  </si>
  <si>
    <t>DOM Yi Rou Lim</t>
  </si>
  <si>
    <t xml:space="preserve">NRE Rahul Kumar Pandey </t>
  </si>
  <si>
    <t>DOM Yuvraj Chaudary Kewal</t>
  </si>
  <si>
    <t>NRE Savitha Venukuttan Nair</t>
  </si>
  <si>
    <t>NRE Sharulatha Velmurugan</t>
  </si>
  <si>
    <t>DOM Stacey Ji Soo Lee</t>
  </si>
  <si>
    <t>NRE Alyssa Andres</t>
  </si>
  <si>
    <t>DOM Ella (Jinghan) Wang</t>
  </si>
  <si>
    <t xml:space="preserve">DOM Zeh Yee Yau </t>
  </si>
  <si>
    <t>DOM Crystal (Jooeun) Yi</t>
  </si>
  <si>
    <t xml:space="preserve">NRE Hardik Ahuja </t>
  </si>
  <si>
    <t>NRE Zhi Qi Wong</t>
  </si>
  <si>
    <t>NRE Greeshma Raj</t>
  </si>
  <si>
    <t xml:space="preserve">DOM Howard Liu </t>
  </si>
  <si>
    <t>NRE Hanna Simon</t>
  </si>
  <si>
    <t>DOM Fylgia Romero</t>
  </si>
  <si>
    <t>DOM Wonje Lee</t>
  </si>
  <si>
    <t>NRE Janet Jomon</t>
  </si>
  <si>
    <t>NRE Victor Onyirioha</t>
  </si>
  <si>
    <t>NRE Almanath</t>
  </si>
  <si>
    <t>Condition</t>
  </si>
  <si>
    <t>Timeframe</t>
  </si>
  <si>
    <t>Presenter(s)</t>
  </si>
  <si>
    <t>Study Group</t>
  </si>
  <si>
    <r>
      <rPr>
        <b/>
        <sz val="11"/>
        <color theme="1"/>
        <rFont val="Calibri"/>
        <family val="2"/>
      </rPr>
      <t>Headaches:</t>
    </r>
    <r>
      <rPr>
        <sz val="11"/>
        <color theme="1"/>
        <rFont val="Calibri"/>
        <family val="2"/>
      </rPr>
      <t xml:space="preserve"> Tension vs Migraine vs Sinus vs Medication Overuse (Please include Prochlorperazine and Sumatriptan)</t>
    </r>
  </si>
  <si>
    <t>15min total</t>
  </si>
  <si>
    <t xml:space="preserve">Frances Encarnacion, Jay (Zhijian) Wang,          Ji Hee Jeong, Joanne Cao, Leah Bunales </t>
  </si>
  <si>
    <r>
      <rPr>
        <b/>
        <sz val="11"/>
        <color theme="1"/>
        <rFont val="Calibri"/>
        <family val="2"/>
      </rPr>
      <t>Headaches:</t>
    </r>
    <r>
      <rPr>
        <sz val="11"/>
        <color theme="1"/>
        <rFont val="Calibri"/>
        <family val="2"/>
      </rPr>
      <t xml:space="preserve"> Tension vs Migraine vs Sinus vs Medication Overuse (Please include Prochlorperazine and Sumatriptan)</t>
    </r>
  </si>
  <si>
    <t>Amalnath Sadanandan, Ayesha Tabinda</t>
  </si>
  <si>
    <t>NRE Amalnath Sadanandan</t>
  </si>
  <si>
    <r>
      <rPr>
        <b/>
        <sz val="11"/>
        <color theme="1"/>
        <rFont val="Calibri"/>
        <family val="2"/>
      </rPr>
      <t>Common Infections:</t>
    </r>
    <r>
      <rPr>
        <sz val="11"/>
        <color theme="1"/>
        <rFont val="Calibri"/>
        <family val="2"/>
      </rPr>
      <t xml:space="preserve"> Cough vs Cold vs Flu vs COVID (Please also cover Pseudoephedrine and Tamiflu)</t>
    </r>
  </si>
  <si>
    <t>Phylicia Chong, Rekha Paily, Sadaf Ahmad,      Yi Rou Lim, Yuvraj Chaudary Kewal</t>
  </si>
  <si>
    <r>
      <rPr>
        <b/>
        <sz val="11"/>
        <color theme="1"/>
        <rFont val="Calibri"/>
        <family val="2"/>
      </rPr>
      <t>Common Infections:</t>
    </r>
    <r>
      <rPr>
        <sz val="11"/>
        <color theme="1"/>
        <rFont val="Calibri"/>
        <family val="2"/>
      </rPr>
      <t xml:space="preserve"> Cough vs Cold vs Flu vs COVID (Please also cover Pseudoephedrine and Tamiflu)</t>
    </r>
  </si>
  <si>
    <t>Chinwe Melifonqu</t>
  </si>
  <si>
    <r>
      <rPr>
        <b/>
        <sz val="11"/>
        <color theme="1"/>
        <rFont val="Calibri"/>
        <family val="2"/>
      </rPr>
      <t xml:space="preserve">Sore Throats: </t>
    </r>
    <r>
      <rPr>
        <sz val="11"/>
        <color theme="1"/>
        <rFont val="Calibri"/>
        <family val="2"/>
      </rPr>
      <t>Viral vs Bacterial (Please include Strep Throat and Rheumatic Fever)</t>
    </r>
  </si>
  <si>
    <t>10min total</t>
  </si>
  <si>
    <t>Mohammed Omar, Niyati Shah, Sai Chakrahari, Laurence Gaboy, Jessie Jung</t>
  </si>
  <si>
    <r>
      <rPr>
        <b/>
        <sz val="11"/>
        <color theme="1"/>
        <rFont val="Calibri"/>
        <family val="2"/>
      </rPr>
      <t xml:space="preserve">Sore Throats: </t>
    </r>
    <r>
      <rPr>
        <sz val="11"/>
        <color theme="1"/>
        <rFont val="Calibri"/>
        <family val="2"/>
      </rPr>
      <t>Viral vs Bacterial (Please include Strep Throat and Rheumatic Fever)</t>
    </r>
  </si>
  <si>
    <t>NRE Chinwe Stella Melifonqu</t>
  </si>
  <si>
    <r>
      <rPr>
        <b/>
        <sz val="11"/>
        <color theme="1"/>
        <rFont val="Calibri"/>
        <family val="2"/>
      </rPr>
      <t>Measles</t>
    </r>
    <r>
      <rPr>
        <sz val="11"/>
        <color theme="1"/>
        <rFont val="Calibri"/>
        <family val="2"/>
      </rPr>
      <t xml:space="preserve"> (include Public Health Considerations and info on Vaccinations)</t>
    </r>
  </si>
  <si>
    <t>Kathleen Gomez, Philippe Koo, Samuel Jung, Xin Pei Tay, Paddy Santos</t>
  </si>
  <si>
    <r>
      <rPr>
        <b/>
        <sz val="11"/>
        <color theme="1"/>
        <rFont val="Calibri"/>
        <family val="2"/>
      </rPr>
      <t>Measles</t>
    </r>
    <r>
      <rPr>
        <sz val="11"/>
        <color theme="1"/>
        <rFont val="Calibri"/>
        <family val="2"/>
      </rPr>
      <t xml:space="preserve"> (include Public Health Considerations and info on Vaccinations)</t>
    </r>
  </si>
  <si>
    <t>Yakeshkumar Modi, Rasheema Savad</t>
  </si>
  <si>
    <r>
      <rPr>
        <b/>
        <sz val="11"/>
        <color theme="1"/>
        <rFont val="Calibri"/>
        <family val="2"/>
      </rPr>
      <t>Whooping Cough</t>
    </r>
    <r>
      <rPr>
        <sz val="11"/>
        <color theme="1"/>
        <rFont val="Calibri"/>
        <family val="2"/>
      </rPr>
      <t xml:space="preserve"> (include Public Health Considerations and info on Vaccinations)</t>
    </r>
  </si>
  <si>
    <t>Amrutha Chelath, Hana Nazim, Mukta Batra, Nidhi Jariwala</t>
  </si>
  <si>
    <r>
      <rPr>
        <b/>
        <sz val="11"/>
        <color theme="1"/>
        <rFont val="Calibri"/>
        <family val="2"/>
      </rPr>
      <t>Whooping Cough</t>
    </r>
    <r>
      <rPr>
        <sz val="11"/>
        <color theme="1"/>
        <rFont val="Calibri"/>
        <family val="2"/>
      </rPr>
      <t xml:space="preserve"> (include Public Health Considerations and info on Vaccinations)</t>
    </r>
  </si>
  <si>
    <t>Kisal Bogahakumbure, Farhana Anwar</t>
  </si>
  <si>
    <r>
      <rPr>
        <b/>
        <sz val="11"/>
        <color theme="1"/>
        <rFont val="Calibri"/>
        <family val="2"/>
      </rPr>
      <t>Meningitis</t>
    </r>
    <r>
      <rPr>
        <sz val="11"/>
        <color theme="1"/>
        <rFont val="Calibri"/>
        <family val="2"/>
      </rPr>
      <t xml:space="preserve"> (include Public Health Considerations and info on Vaccinations)</t>
    </r>
  </si>
  <si>
    <t xml:space="preserve">Aziza Shawudun, Jasmin Jomon, Marvelous Adesina, Mingxin Mei, Rica Mae Estillore </t>
  </si>
  <si>
    <t>Christchurch</t>
  </si>
  <si>
    <t>NRE Richard Laurence</t>
  </si>
  <si>
    <r>
      <rPr>
        <b/>
        <sz val="11"/>
        <color theme="1"/>
        <rFont val="Calibri"/>
        <family val="2"/>
      </rPr>
      <t>Headaches:</t>
    </r>
    <r>
      <rPr>
        <sz val="11"/>
        <color theme="1"/>
        <rFont val="Calibri"/>
        <family val="2"/>
      </rPr>
      <t xml:space="preserve"> Tension vs Migraine vs Sinus vs Medication Overuse (Please include Prochlorperazine and Sumatriptan)</t>
    </r>
  </si>
  <si>
    <t>Alyssa Andres, Crystal Yi</t>
  </si>
  <si>
    <r>
      <rPr>
        <b/>
        <sz val="11"/>
        <color theme="1"/>
        <rFont val="Calibri"/>
        <family val="2"/>
      </rPr>
      <t>Headaches:</t>
    </r>
    <r>
      <rPr>
        <sz val="11"/>
        <color theme="1"/>
        <rFont val="Calibri"/>
        <family val="2"/>
      </rPr>
      <t xml:space="preserve"> Tension vs Migraine vs Sinus vs Medication Overuse (Please include Prochlorperazine and Sumatriptan)</t>
    </r>
  </si>
  <si>
    <t>Angel Paul, Anumol Paulose</t>
  </si>
  <si>
    <t>NRE Paddy Santos</t>
  </si>
  <si>
    <r>
      <rPr>
        <b/>
        <sz val="11"/>
        <color theme="1"/>
        <rFont val="Calibri"/>
        <family val="2"/>
      </rPr>
      <t>Common Infections:</t>
    </r>
    <r>
      <rPr>
        <sz val="11"/>
        <color theme="1"/>
        <rFont val="Calibri"/>
        <family val="2"/>
      </rPr>
      <t xml:space="preserve"> Cough vs Cold vs Flu vs COVID (Please also cover Pseudoephedrine and Tamiflu)</t>
    </r>
  </si>
  <si>
    <t>Greeshma Raj, Fylgia Romero</t>
  </si>
  <si>
    <r>
      <rPr>
        <b/>
        <sz val="11"/>
        <color theme="1"/>
        <rFont val="Calibri"/>
        <family val="2"/>
      </rPr>
      <t>Common Infections:</t>
    </r>
    <r>
      <rPr>
        <sz val="11"/>
        <color theme="1"/>
        <rFont val="Calibri"/>
        <family val="2"/>
      </rPr>
      <t xml:space="preserve"> Cough vs Cold vs Flu vs COVID (Please also cover Pseudoephedrine and Tamiflu)</t>
    </r>
  </si>
  <si>
    <t>Ann (Lorieall) Sureta, Janet Jomon</t>
  </si>
  <si>
    <r>
      <rPr>
        <b/>
        <sz val="11"/>
        <color theme="1"/>
        <rFont val="Calibri"/>
        <family val="2"/>
      </rPr>
      <t xml:space="preserve">Sore Throats: </t>
    </r>
    <r>
      <rPr>
        <sz val="11"/>
        <color theme="1"/>
        <rFont val="Calibri"/>
        <family val="2"/>
      </rPr>
      <t>Viral vs Bacterial (Please include Strep Throat and Rheumatic Fever)</t>
    </r>
  </si>
  <si>
    <t xml:space="preserve">Ella Wang, Hardik Ahuja </t>
  </si>
  <si>
    <r>
      <rPr>
        <b/>
        <sz val="11"/>
        <color theme="1"/>
        <rFont val="Calibri"/>
        <family val="2"/>
      </rPr>
      <t xml:space="preserve">Sore Throats: </t>
    </r>
    <r>
      <rPr>
        <sz val="11"/>
        <color theme="1"/>
        <rFont val="Calibri"/>
        <family val="2"/>
      </rPr>
      <t>Viral vs Bacterial (Please include Strep Throat and Rheumatic Fever)</t>
    </r>
  </si>
  <si>
    <t>Michael Mories, Sharulatha Velmurugan</t>
  </si>
  <si>
    <r>
      <rPr>
        <b/>
        <sz val="11"/>
        <color theme="1"/>
        <rFont val="Calibri"/>
        <family val="2"/>
      </rPr>
      <t>Measles</t>
    </r>
    <r>
      <rPr>
        <sz val="11"/>
        <color theme="1"/>
        <rFont val="Calibri"/>
        <family val="2"/>
      </rPr>
      <t xml:space="preserve"> (include Public Health Considerations and info on Vaccinations)</t>
    </r>
  </si>
  <si>
    <r>
      <rPr>
        <b/>
        <sz val="11"/>
        <color theme="1"/>
        <rFont val="Calibri"/>
        <family val="2"/>
      </rPr>
      <t>Measles</t>
    </r>
    <r>
      <rPr>
        <sz val="11"/>
        <color theme="1"/>
        <rFont val="Calibri"/>
        <family val="2"/>
      </rPr>
      <t xml:space="preserve"> (include Public Health Considerations and info on Vaccinations)</t>
    </r>
  </si>
  <si>
    <t>Nehalben Patel</t>
  </si>
  <si>
    <r>
      <rPr>
        <b/>
        <sz val="11"/>
        <color theme="1"/>
        <rFont val="Calibri"/>
        <family val="2"/>
      </rPr>
      <t>Whooping Cough</t>
    </r>
    <r>
      <rPr>
        <sz val="11"/>
        <color theme="1"/>
        <rFont val="Calibri"/>
        <family val="2"/>
      </rPr>
      <t xml:space="preserve"> (include Public Health Considerations and info on Vaccinations)</t>
    </r>
  </si>
  <si>
    <r>
      <rPr>
        <b/>
        <sz val="11"/>
        <color theme="1"/>
        <rFont val="Calibri"/>
        <family val="2"/>
      </rPr>
      <t>Whooping Cough</t>
    </r>
    <r>
      <rPr>
        <sz val="11"/>
        <color theme="1"/>
        <rFont val="Calibri"/>
        <family val="2"/>
      </rPr>
      <t xml:space="preserve"> (include Public Health Considerations and info on Vaccinations)</t>
    </r>
  </si>
  <si>
    <r>
      <rPr>
        <b/>
        <sz val="11"/>
        <color theme="1"/>
        <rFont val="Calibri"/>
        <family val="2"/>
      </rPr>
      <t>Headaches:</t>
    </r>
    <r>
      <rPr>
        <sz val="11"/>
        <color theme="1"/>
        <rFont val="Calibri"/>
        <family val="2"/>
      </rPr>
      <t xml:space="preserve"> Tension vs Migraine vs Sinus vs Medication Overuse (Please include Prochlorperazine and Sumatriptan)</t>
    </r>
  </si>
  <si>
    <t>Gyan Ilarde Lumo</t>
  </si>
  <si>
    <r>
      <rPr>
        <b/>
        <sz val="11"/>
        <color theme="1"/>
        <rFont val="Calibri"/>
        <family val="2"/>
      </rPr>
      <t>Headaches:</t>
    </r>
    <r>
      <rPr>
        <sz val="11"/>
        <color theme="1"/>
        <rFont val="Calibri"/>
        <family val="2"/>
      </rPr>
      <t xml:space="preserve"> Tension vs Migraine vs Sinus vs Medication Overuse (Please include Prochlorperazine and Sumatriptan)</t>
    </r>
  </si>
  <si>
    <r>
      <rPr>
        <b/>
        <sz val="11"/>
        <color theme="1"/>
        <rFont val="Calibri"/>
        <family val="2"/>
      </rPr>
      <t>Common Infections:</t>
    </r>
    <r>
      <rPr>
        <sz val="11"/>
        <color theme="1"/>
        <rFont val="Calibri"/>
        <family val="2"/>
      </rPr>
      <t xml:space="preserve"> Cough vs Cold vs Flu vs COVID (Please also cover Pseudoephedrine and Tamiflu)</t>
    </r>
  </si>
  <si>
    <t>Abhishek Sharma, Zhi Qi Wong</t>
  </si>
  <si>
    <r>
      <rPr>
        <b/>
        <sz val="11"/>
        <color theme="1"/>
        <rFont val="Calibri"/>
        <family val="2"/>
      </rPr>
      <t>Common Infections:</t>
    </r>
    <r>
      <rPr>
        <sz val="11"/>
        <color theme="1"/>
        <rFont val="Calibri"/>
        <family val="2"/>
      </rPr>
      <t xml:space="preserve"> Cough vs Cold vs Flu vs COVID (Please also cover Pseudoephedrine and Tamiflu)</t>
    </r>
  </si>
  <si>
    <r>
      <rPr>
        <b/>
        <sz val="11"/>
        <color theme="1"/>
        <rFont val="Calibri"/>
        <family val="2"/>
      </rPr>
      <t xml:space="preserve">Sore Throats: </t>
    </r>
    <r>
      <rPr>
        <sz val="11"/>
        <color theme="1"/>
        <rFont val="Calibri"/>
        <family val="2"/>
      </rPr>
      <t>Viral vs Bacterial (Please include Strep Throat and Rheumatic Fever)</t>
    </r>
  </si>
  <si>
    <t>Rio Marielle Booc, Kamran Ghanbari</t>
  </si>
  <si>
    <r>
      <rPr>
        <b/>
        <sz val="11"/>
        <color theme="1"/>
        <rFont val="Calibri"/>
        <family val="2"/>
      </rPr>
      <t xml:space="preserve">Sore Throats: </t>
    </r>
    <r>
      <rPr>
        <sz val="11"/>
        <color theme="1"/>
        <rFont val="Calibri"/>
        <family val="2"/>
      </rPr>
      <t>Viral vs Bacterial (Please include Strep Throat and Rheumatic Fever)</t>
    </r>
  </si>
  <si>
    <t>Savitha Nair</t>
  </si>
  <si>
    <r>
      <rPr>
        <b/>
        <sz val="11"/>
        <color theme="1"/>
        <rFont val="Calibri"/>
        <family val="2"/>
      </rPr>
      <t>Measles</t>
    </r>
    <r>
      <rPr>
        <sz val="11"/>
        <color theme="1"/>
        <rFont val="Calibri"/>
        <family val="2"/>
      </rPr>
      <t xml:space="preserve"> (include Public Health Considerations and info on Vaccinations)</t>
    </r>
  </si>
  <si>
    <r>
      <rPr>
        <b/>
        <sz val="11"/>
        <color theme="1"/>
        <rFont val="Calibri"/>
        <family val="2"/>
      </rPr>
      <t>Measles</t>
    </r>
    <r>
      <rPr>
        <sz val="11"/>
        <color theme="1"/>
        <rFont val="Calibri"/>
        <family val="2"/>
      </rPr>
      <t xml:space="preserve"> (include Public Health Considerations and info on Vaccinations)</t>
    </r>
  </si>
  <si>
    <r>
      <rPr>
        <b/>
        <sz val="11"/>
        <color theme="1"/>
        <rFont val="Calibri"/>
        <family val="2"/>
      </rPr>
      <t>Whooping Cough</t>
    </r>
    <r>
      <rPr>
        <sz val="11"/>
        <color theme="1"/>
        <rFont val="Calibri"/>
        <family val="2"/>
      </rPr>
      <t xml:space="preserve"> (include Public Health Considerations and info on Vaccinations)</t>
    </r>
  </si>
  <si>
    <t>Jenny Yan</t>
  </si>
  <si>
    <r>
      <rPr>
        <b/>
        <sz val="11"/>
        <color theme="1"/>
        <rFont val="Calibri"/>
        <family val="2"/>
      </rPr>
      <t>Whooping Cough</t>
    </r>
    <r>
      <rPr>
        <sz val="11"/>
        <color theme="1"/>
        <rFont val="Calibri"/>
        <family val="2"/>
      </rPr>
      <t xml:space="preserve"> (include Public Health Considerations and info on Vaccinations)</t>
    </r>
  </si>
  <si>
    <t>Stacey Lee</t>
  </si>
  <si>
    <t>NRE Jenny (Zhixin) Yan</t>
  </si>
  <si>
    <t>DOM Rio Marielle Booc</t>
  </si>
  <si>
    <t xml:space="preserve">Acne and Rosacea </t>
  </si>
  <si>
    <t>5min each, ~10min total</t>
  </si>
  <si>
    <t xml:space="preserve">Tinea Infections - Ringworm, Jock Itch, Athletes Foot, Nail Conditions </t>
  </si>
  <si>
    <t>Chinwe Melifonqu, Zhi Qi Wong</t>
  </si>
  <si>
    <t xml:space="preserve">Parasitic Infections - Scabies, Worms, Headlice </t>
  </si>
  <si>
    <t>5min each, ~15min total</t>
  </si>
  <si>
    <t>Mohammed Omar, Niyati Shah, Sai Chakrahari, Richard Laurence, Jessie Jung</t>
  </si>
  <si>
    <t>Seborrheic Dermatitis and Dandruff</t>
  </si>
  <si>
    <t>Kathleen Gomez, Philppe Koo, Samuel Jung, Xin Pei Tay, Paddy Santos</t>
  </si>
  <si>
    <t>Hives, Bites, Stings</t>
  </si>
  <si>
    <t>Psoriasis + Impetigo</t>
  </si>
  <si>
    <t>NRE Philppe Koo</t>
  </si>
  <si>
    <t>Abhishek Sharma</t>
  </si>
  <si>
    <t>OTC</t>
  </si>
  <si>
    <t>POM</t>
  </si>
  <si>
    <t>Therapeutics</t>
  </si>
  <si>
    <t>Month</t>
  </si>
  <si>
    <t>Topic</t>
  </si>
  <si>
    <t>Covered in:</t>
  </si>
  <si>
    <t>Details</t>
  </si>
  <si>
    <t>Details:</t>
  </si>
  <si>
    <t>February</t>
  </si>
  <si>
    <t>Hayfever and allergies</t>
  </si>
  <si>
    <t>EOM Checkpoint</t>
  </si>
  <si>
    <t>Case: Request for Clear Eyes and Phenergan</t>
  </si>
  <si>
    <t>Adrenaline</t>
  </si>
  <si>
    <t>Inflammatory Bowel Disease</t>
  </si>
  <si>
    <t>Focus Group</t>
  </si>
  <si>
    <t>Case: Pentasa Suppositories in Ulcerative proctitis</t>
  </si>
  <si>
    <t>Indigestion &amp; Heartburn</t>
  </si>
  <si>
    <t>Case: Pregnant woman on iron suspects cancer</t>
  </si>
  <si>
    <t>Sedating Antihistamines</t>
  </si>
  <si>
    <t>Case: Mother's request for Promethazine for cold/flu symptoms + sleep on flight</t>
  </si>
  <si>
    <t>Irritable Bowel Syndrome</t>
  </si>
  <si>
    <t>Case: Denial of Buscopan (Anticholinergic interaction)</t>
  </si>
  <si>
    <t>Constipation</t>
  </si>
  <si>
    <t>Gastrosoothe</t>
  </si>
  <si>
    <t>Diarrhoea &amp; Vomiting</t>
  </si>
  <si>
    <t>Case: Request for Loperamide for a 4-year old</t>
  </si>
  <si>
    <t>Bowel cleansing agents</t>
  </si>
  <si>
    <t>Research Template</t>
  </si>
  <si>
    <t>Diarrhoea</t>
  </si>
  <si>
    <t>Haemorrhoids</t>
  </si>
  <si>
    <t>Extra for experts: Haemorroid treatment in pregnancy</t>
  </si>
  <si>
    <t>Rectogesic</t>
  </si>
  <si>
    <t>Nausea and vomiting</t>
  </si>
  <si>
    <t>March</t>
  </si>
  <si>
    <t>Dry skin</t>
  </si>
  <si>
    <t>Presentation</t>
  </si>
  <si>
    <t>Intern</t>
  </si>
  <si>
    <t>Vaginal thrush</t>
  </si>
  <si>
    <t>Case: Vaginal Thrush (Uncontrolled T2DM but blamed on Empagliflozin)</t>
  </si>
  <si>
    <t>GERD</t>
  </si>
  <si>
    <t>Dermatitis, Eczema</t>
  </si>
  <si>
    <t>Case: Request for Calamine (Childhood Eczema)</t>
  </si>
  <si>
    <t>Hydrocortisone 1%</t>
  </si>
  <si>
    <t>Childhood Eczema</t>
  </si>
  <si>
    <t>Clobetasone</t>
  </si>
  <si>
    <t>Anal fissures</t>
  </si>
  <si>
    <t>Tinea (Skin, foot, nail)</t>
  </si>
  <si>
    <t>Case: Athelte's Foot into Fungal Nail Infection</t>
  </si>
  <si>
    <t>Micreme H, Canesten Plus</t>
  </si>
  <si>
    <t>Antiemetics</t>
  </si>
  <si>
    <t>April</t>
  </si>
  <si>
    <t>Case: Wants Fluconazole but they are on Colchicine (Interaction) (KEN)</t>
  </si>
  <si>
    <t>Heart Failure</t>
  </si>
  <si>
    <t>Case: Changing from ACE-I to Entresto</t>
  </si>
  <si>
    <t>Nappy Rash</t>
  </si>
  <si>
    <t>?with Micreme H?</t>
  </si>
  <si>
    <t>Adapalene</t>
  </si>
  <si>
    <t>Case: Adapalene for Acne (KEN Apr 2024 EOM)</t>
  </si>
  <si>
    <t>Angina</t>
  </si>
  <si>
    <t>Case: Step up therapy; Duride NEW</t>
  </si>
  <si>
    <t>Calcipotriol</t>
  </si>
  <si>
    <t>Case: Calcipotriol for Psoriasis - patient wants to initiate but taking VitD 1/month</t>
  </si>
  <si>
    <t>Arrhythmias</t>
  </si>
  <si>
    <t>Case: Switching from Warfarin to Dabigatrin</t>
  </si>
  <si>
    <t>Psoriasis</t>
  </si>
  <si>
    <t xml:space="preserve">Case: Hives but requests epipen believing that's the solution </t>
  </si>
  <si>
    <t>Hypertension</t>
  </si>
  <si>
    <t>Hives, Bites &amp; stings</t>
  </si>
  <si>
    <t>Pseudoephedrine</t>
  </si>
  <si>
    <t>Hyperlipidemia</t>
  </si>
  <si>
    <t>Scabies</t>
  </si>
  <si>
    <t>Case: Mother mistakes Scabies as Eczema</t>
  </si>
  <si>
    <t>Case: Patient thinks it's migraine, it's sinus (xPseudo - HF)</t>
  </si>
  <si>
    <t>Type 1 Diabetes</t>
  </si>
  <si>
    <t>Case for Self Study</t>
  </si>
  <si>
    <t>Case: Insulin and T1DM Counselling (Child)</t>
  </si>
  <si>
    <t>Prochlorperazine</t>
  </si>
  <si>
    <t>Type 2 Diabetes</t>
  </si>
  <si>
    <t>Case: Metformin GI Side Effects</t>
  </si>
  <si>
    <t>Worms</t>
  </si>
  <si>
    <t>Case: Family with Worms</t>
  </si>
  <si>
    <t>Case: Supplying one, initial diagnosis, clear hx and sx - however interaction</t>
  </si>
  <si>
    <t>Cyclizine</t>
  </si>
  <si>
    <t>Case: Cyclizine (Patient has bad food poisoning)</t>
  </si>
  <si>
    <t>Hypothyroidism</t>
  </si>
  <si>
    <t>Case: New Levothyroxine Counselling</t>
  </si>
  <si>
    <t>Headlice</t>
  </si>
  <si>
    <t>Case: Wants shampoo for dandruff but has headlice</t>
  </si>
  <si>
    <t>Sumatriptan</t>
  </si>
  <si>
    <t>Hyperthyroidism</t>
  </si>
  <si>
    <t>Case: New Carbimazole Counselling</t>
  </si>
  <si>
    <t>Case: New Allopurinol Counselling (NEW, uptitrate, allergic reaction)</t>
  </si>
  <si>
    <t>Acne</t>
  </si>
  <si>
    <t>Dextromethorphan</t>
  </si>
  <si>
    <t>Self Study</t>
  </si>
  <si>
    <t>No product available at this time</t>
  </si>
  <si>
    <t>Case: Voltaren but T2DM (just on Metformin) and BP meds</t>
  </si>
  <si>
    <t>Rosacea</t>
  </si>
  <si>
    <t>Oseltamivir</t>
  </si>
  <si>
    <t>Sprains and Strains</t>
  </si>
  <si>
    <t>Case: ParaCodeine &amp; Home, can they use? (No, NSAID + PRICE)</t>
  </si>
  <si>
    <t>Impetigo</t>
  </si>
  <si>
    <t>POM Purchase in Advance</t>
  </si>
  <si>
    <t>Case: New Methotrexate Counselling (KEN)</t>
  </si>
  <si>
    <t>Dandruff and Cradle Cap</t>
  </si>
  <si>
    <t>June</t>
  </si>
  <si>
    <t>Diclofenac 25mg</t>
  </si>
  <si>
    <t>Voltaren Triple Whammy - Ramipril + Indapamide collected elsewhere (Claude done)</t>
  </si>
  <si>
    <t>Osteoarthritis</t>
  </si>
  <si>
    <t>Case: Voltaren but interaction with Lithium</t>
  </si>
  <si>
    <t>Seborrheic Dermatitis</t>
  </si>
  <si>
    <t>Fluconazole for scalp but should do Sebizole+Cream</t>
  </si>
  <si>
    <t>Panadol Osteo</t>
  </si>
  <si>
    <t>Commonly dispensed and covered in-store</t>
  </si>
  <si>
    <t>Muscular aches, pains, and tightness</t>
  </si>
  <si>
    <t>Chicken Pox and Shingles</t>
  </si>
  <si>
    <t>Case: Amitriptyline and Valaciclovir (KEN)</t>
  </si>
  <si>
    <t>Naproxen</t>
  </si>
  <si>
    <t>POM for Primary Period Pain (Claude done)</t>
  </si>
  <si>
    <t>Measles</t>
  </si>
  <si>
    <t>Cuts and Grazes</t>
  </si>
  <si>
    <t>Case: Bleeding wound from an Elderly Patient</t>
  </si>
  <si>
    <t>July</t>
  </si>
  <si>
    <t>Chlorsig</t>
  </si>
  <si>
    <t>Case: Allergy eyes but is bacterial, supply chlorsig</t>
  </si>
  <si>
    <t>Whooping Cough</t>
  </si>
  <si>
    <t>Presentation from Smith &amp; Nephew</t>
  </si>
  <si>
    <t>August</t>
  </si>
  <si>
    <t>Neutrafluor</t>
  </si>
  <si>
    <t>Meningitis</t>
  </si>
  <si>
    <t>Puncture &amp; Surgical Wounds</t>
  </si>
  <si>
    <t>Case: Nail puncture (Tetanus Prone Wound)</t>
  </si>
  <si>
    <t>Melatonin</t>
  </si>
  <si>
    <t>Palliative Care</t>
  </si>
  <si>
    <t>Guest Presentation - Hospice</t>
  </si>
  <si>
    <t>Case: Simple primary, can supply. Give questionnaire</t>
  </si>
  <si>
    <t>Med Int - H. Pylori + Statin</t>
  </si>
  <si>
    <t>H. Pylori Tx (Clarithromycin), Statin dispensed 1.5 months ago in Hx</t>
  </si>
  <si>
    <t>Blisters &amp; Ulcers</t>
  </si>
  <si>
    <t>Nystatin and Miconazole</t>
  </si>
  <si>
    <t>KEN</t>
  </si>
  <si>
    <t>Burns &amp; Scarring</t>
  </si>
  <si>
    <t>Case: Oil Burn</t>
  </si>
  <si>
    <t>Triamcinolone</t>
  </si>
  <si>
    <t>Nausea and Vomiting</t>
  </si>
  <si>
    <t>Nausea Management Table Breakdown</t>
  </si>
  <si>
    <t>Diphenhydramine &amp; Doxylamine</t>
  </si>
  <si>
    <t>Ken: Switching (Fluox to Venlafaxine) (Claude done)</t>
  </si>
  <si>
    <t>Pain and Fever (Child vs Adult)</t>
  </si>
  <si>
    <t>Case: Unisom, recently started on ritalin, losing sleep. Secondary. Someone sold before</t>
  </si>
  <si>
    <t xml:space="preserve">Olanzapine - Weight gain (asking for supplement) Ange has </t>
  </si>
  <si>
    <t>Pain (Adult)</t>
  </si>
  <si>
    <t>Case: Pain Ladder (Panadol, Ibuprofen, Tramadol, Laxsol)</t>
  </si>
  <si>
    <t>Famciclovir</t>
  </si>
  <si>
    <t>Bipolar disorder</t>
  </si>
  <si>
    <t>Lithium counselling. Sporty - Ibuprofen + Electrolytes (Panadol+Counselling)</t>
  </si>
  <si>
    <t>Headaches (Tension, Migraine, Sinus, Med Overuse)</t>
  </si>
  <si>
    <t>Case: 3rd trimester, cold sore now, coutners with wanting as backpocket (not safe BF)</t>
  </si>
  <si>
    <t>Concerned mother - new diagnosis. Stigma. Long Term SE. Ritalin IM. Queries Melatonin</t>
  </si>
  <si>
    <t>Headaches (Sinus)</t>
  </si>
  <si>
    <t xml:space="preserve"> </t>
  </si>
  <si>
    <t>56y/o on Fluoxetine. Melatonin X Promethazine X REM Sleep/Tart Cherry/Magnesium -&gt; See Dr for Med</t>
  </si>
  <si>
    <t>Coughs, Colds, Flu, COVID</t>
  </si>
  <si>
    <t>Pregnancy and Breastfeeding</t>
  </si>
  <si>
    <t>Ken &amp; Ange</t>
  </si>
  <si>
    <t>Cough (Pholcodine Child &lt;6)</t>
  </si>
  <si>
    <t>Case: Parent for kid, wants Bromhexine but can't.</t>
  </si>
  <si>
    <t>Patient comes in wanting antiemetic - POM, but it's morning sickness</t>
  </si>
  <si>
    <t>Sore Throats - Viral and Bacterial</t>
  </si>
  <si>
    <t xml:space="preserve">Pregnancy and Breastfeeding </t>
  </si>
  <si>
    <t>Vaginal Thrush in 3rd Trimester. Worried about cream's applicator (Pessaries?)</t>
  </si>
  <si>
    <t>Sore Throats - Strep Throat</t>
  </si>
  <si>
    <t>Case: Strong lozenge for throat (Is Strep) KEN</t>
  </si>
  <si>
    <t>Scenario: 25 y/o - Generalised Epilepsy wanting to get Pregnant</t>
  </si>
  <si>
    <t>COVID</t>
  </si>
  <si>
    <t>Paxlovid (Victoria has one in Compilation - Script, re-check elligibility. Call Dr and Counsel Patient</t>
  </si>
  <si>
    <t>Scenario: 28 y/o - Prostethic Heart Valve (Life-long Warfarin) wanting to get Pregnant</t>
  </si>
  <si>
    <t xml:space="preserve">May </t>
  </si>
  <si>
    <t xml:space="preserve">Cyclizine/Prochlorperazine </t>
  </si>
  <si>
    <t>Request: Cyclizine due to dizziness -  Doxy daily with Iron chelating interaction</t>
  </si>
  <si>
    <t>Scenario: 18 y/o - Severe acne and is currently pregnant</t>
  </si>
  <si>
    <t>Muscular aches, pains &amp; tightness</t>
  </si>
  <si>
    <t>Covered in April</t>
  </si>
  <si>
    <t>Asthma</t>
  </si>
  <si>
    <t xml:space="preserve">Case: Symbicort SMART </t>
  </si>
  <si>
    <t>Sprains &amp; strains</t>
  </si>
  <si>
    <t>COPD</t>
  </si>
  <si>
    <t>Case: Jimmy COPD clinical case (Jimmy)</t>
  </si>
  <si>
    <t>Primary &amp; Secondary Period Pain</t>
  </si>
  <si>
    <t>POM for Primary Period Pain (Naproxen) (Claude done)</t>
  </si>
  <si>
    <t>Case: Trelegy Counselling (Continuation Case)</t>
  </si>
  <si>
    <t>Glaucoma</t>
  </si>
  <si>
    <t>Case: Acetazolamide history, coming in with allergies wanting steroid nasal spray (Ange)</t>
  </si>
  <si>
    <t>Corns and Callouses</t>
  </si>
  <si>
    <t>Drugs in Geriatrics</t>
  </si>
  <si>
    <t>Jimmy Patel</t>
  </si>
  <si>
    <t>Bunions and Ingrown Toenails</t>
  </si>
  <si>
    <t>Common infections &amp; Anti-infectives</t>
  </si>
  <si>
    <t>Case: Dr wants you opinion on TMP 1st trimester preg women for UTI (Ange)</t>
  </si>
  <si>
    <t>Warts and Verrucas</t>
  </si>
  <si>
    <t>Medicines Information</t>
  </si>
  <si>
    <t>Case: Victoza Counselling (Continuation Case)</t>
  </si>
  <si>
    <t>✔Case: Patient (swimmer) thinks it's a callous but actually a Verucca Cryotherapy product (Hubert)</t>
  </si>
  <si>
    <t>Case: Patient is on basal Lantus 54 units OD, prescribed Liraglutide inj (Jimmy)</t>
  </si>
  <si>
    <t>Dry/Red Eyes</t>
  </si>
  <si>
    <t>Nicotine Replacement Therapy</t>
  </si>
  <si>
    <t>Conjunctivitis (Allergic vs Bacterial vs Viral)</t>
  </si>
  <si>
    <t>Case: Nortriptyline/Bupropion for NRT ("I don't have depression")</t>
  </si>
  <si>
    <t>✔Case: Allergy eyes but is bacterial, supply chlorsig (Ange)</t>
  </si>
  <si>
    <t>Styes and Blepharitis</t>
  </si>
  <si>
    <t>Mydriasis &amp; Cycloplegia</t>
  </si>
  <si>
    <t>Sleep Problems, Snoring</t>
  </si>
  <si>
    <t>Case: Dr rxing Zopi for wife - recetnly started SSRI</t>
  </si>
  <si>
    <t>Mouth Ulcers</t>
  </si>
  <si>
    <t>Cold Sores</t>
  </si>
  <si>
    <t>Smoking Cessation</t>
  </si>
  <si>
    <t>Case: Frequent request for Habitrol Lozenges? Offer patch?</t>
  </si>
  <si>
    <t>Case: NRT Hydrocarbon interaction with anti-psychotic (Flecanide or chlorpromazine)</t>
  </si>
  <si>
    <t>Ear drops, Swimmer's Ear, Otitis Externa</t>
  </si>
  <si>
    <t>Case: Chlorsig vs Kenacomb error. want auralgan, "chlorsig" not working. Teach ear drops</t>
  </si>
  <si>
    <t>Mouthwashs and Gargles, Dry Mouth</t>
  </si>
  <si>
    <t>Case: Amitrip, dry mouth, wants strong mouth wash, but has oral thrush. Prefers decozol, Rosuvstatin (fine)</t>
  </si>
  <si>
    <t>Oral Thrush</t>
  </si>
  <si>
    <t>Toothaches and Denture Care</t>
  </si>
  <si>
    <t>Case: Asthmatic, toothache, hx aspirin induced asthma, panadol not effective. (Clove/nyal)</t>
  </si>
  <si>
    <t>#REF!</t>
  </si>
  <si>
    <r>
      <t>Feb</t>
    </r>
    <r>
      <rPr>
        <b/>
        <sz val="8"/>
        <color theme="0"/>
        <rFont val="Calibri"/>
        <family val="2"/>
      </rPr>
      <t xml:space="preserve"> </t>
    </r>
  </si>
  <si>
    <r>
      <t>Mar</t>
    </r>
    <r>
      <rPr>
        <b/>
        <sz val="8"/>
        <color theme="0"/>
        <rFont val="Calibri"/>
        <family val="2"/>
      </rPr>
      <t xml:space="preserve"> </t>
    </r>
  </si>
  <si>
    <r>
      <t>Apr</t>
    </r>
    <r>
      <rPr>
        <b/>
        <sz val="8"/>
        <color theme="0"/>
        <rFont val="Calibri"/>
        <family val="2"/>
      </rPr>
      <t xml:space="preserve"> </t>
    </r>
  </si>
  <si>
    <r>
      <t>Jun</t>
    </r>
    <r>
      <rPr>
        <b/>
        <sz val="8"/>
        <color theme="0"/>
        <rFont val="Calibri"/>
        <family val="2"/>
      </rPr>
      <t xml:space="preserve"> </t>
    </r>
  </si>
  <si>
    <r>
      <t>Jul</t>
    </r>
    <r>
      <rPr>
        <b/>
        <sz val="8"/>
        <color theme="0"/>
        <rFont val="Calibri"/>
        <family val="2"/>
      </rPr>
      <t xml:space="preserve"> </t>
    </r>
  </si>
  <si>
    <t>May.</t>
  </si>
  <si>
    <t xml:space="preserve">Aug </t>
  </si>
  <si>
    <t xml:space="preserve">Sep </t>
  </si>
  <si>
    <t>Feb.</t>
  </si>
  <si>
    <t>Mar.</t>
  </si>
  <si>
    <t>Apr.</t>
  </si>
  <si>
    <t>Jun.</t>
  </si>
  <si>
    <t xml:space="preserve">May. </t>
  </si>
  <si>
    <t>Jul.</t>
  </si>
  <si>
    <t>Aug.</t>
  </si>
  <si>
    <t>Sep.</t>
  </si>
  <si>
    <t xml:space="preserve">     </t>
  </si>
  <si>
    <t>----</t>
  </si>
  <si>
    <t>CALCULATIONS TEST</t>
  </si>
  <si>
    <t>EOM TOPIC QUIZ</t>
  </si>
  <si>
    <t>EOM PRECEPTOR OSCE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</si>
</sst>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9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26"/>
      <color theme="0"/>
      <name val="Calibri"/>
      <family val="2"/>
    </font>
    <font>
      <sz val="11"/>
      <name val="Calibri"/>
      <family val="2"/>
    </font>
    <font>
      <b/>
      <sz val="16"/>
      <color theme="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ptos"/>
      <family val="2"/>
    </font>
    <font>
      <b/>
      <sz val="16"/>
      <color theme="1"/>
      <name val="Calibri"/>
      <family val="2"/>
    </font>
    <font>
      <u/>
      <sz val="11"/>
      <color rgb="FFFFFFFF"/>
      <name val="Calibri"/>
      <family val="2"/>
    </font>
    <font>
      <u/>
      <sz val="11"/>
      <color rgb="FFFFFFFF"/>
      <name val="Calibri"/>
      <family val="2"/>
    </font>
    <font>
      <b/>
      <sz val="11"/>
      <color rgb="FF7030A0"/>
      <name val="Calibri"/>
      <family val="2"/>
    </font>
    <font>
      <u/>
      <sz val="11"/>
      <color theme="1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</font>
    <font>
      <b/>
      <sz val="8"/>
      <color theme="0"/>
      <name val="Calibri"/>
      <family val="2"/>
    </font>
    <font>
      <b/>
      <sz val="11"/>
      <color rgb="FF00B050"/>
      <name val="Calibri"/>
      <family val="2"/>
    </font>
    <font>
      <sz val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4B083"/>
        <bgColor rgb="FFF4B083"/>
      </patternFill>
    </fill>
    <fill>
      <patternFill patternType="solid">
        <fgColor rgb="FF9999FF"/>
        <bgColor rgb="FF9999FF"/>
      </patternFill>
    </fill>
    <fill>
      <patternFill patternType="solid">
        <fgColor rgb="FFFF99FF"/>
        <bgColor rgb="FFFF99FF"/>
      </patternFill>
    </fill>
    <fill>
      <patternFill patternType="solid">
        <fgColor theme="8"/>
        <bgColor theme="8"/>
      </patternFill>
    </fill>
    <fill>
      <patternFill patternType="solid">
        <fgColor rgb="FFDEEAF6"/>
        <bgColor rgb="FFDEEAF6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  <fill>
      <patternFill patternType="solid">
        <fgColor rgb="FFFBE4D5"/>
        <bgColor rgb="FFFBE4D5"/>
      </patternFill>
    </fill>
    <fill>
      <patternFill patternType="solid">
        <fgColor rgb="FFFEF2CB"/>
        <bgColor rgb="FFFEF2CB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</fills>
  <borders count="5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double">
        <color rgb="FF7030A0"/>
      </left>
      <right style="double">
        <color rgb="FF7030A0"/>
      </right>
      <top/>
      <bottom/>
      <diagonal/>
    </border>
    <border>
      <left/>
      <right/>
      <top/>
      <bottom style="thin">
        <color rgb="FF9CC2E5"/>
      </bottom>
      <diagonal/>
    </border>
    <border>
      <left/>
      <right/>
      <top style="thin">
        <color rgb="FF9CC2E5"/>
      </top>
      <bottom style="thin">
        <color rgb="FF9CC2E5"/>
      </bottom>
      <diagonal/>
    </border>
    <border>
      <left/>
      <right/>
      <top style="thin">
        <color rgb="FF9CC2E5"/>
      </top>
      <bottom style="thin">
        <color rgb="FF9CC2E5"/>
      </bottom>
      <diagonal/>
    </border>
    <border>
      <left/>
      <right/>
      <top style="thin">
        <color rgb="FF9CC2E5"/>
      </top>
      <bottom/>
      <diagonal/>
    </border>
    <border>
      <left/>
      <right/>
      <top/>
      <bottom style="thin">
        <color rgb="FF8EAADB"/>
      </bottom>
      <diagonal/>
    </border>
    <border>
      <left/>
      <right/>
      <top style="thin">
        <color rgb="FF8EAADB"/>
      </top>
      <bottom style="thin">
        <color rgb="FF8EAADB"/>
      </bottom>
      <diagonal/>
    </border>
    <border>
      <left/>
      <right/>
      <top/>
      <bottom style="thin">
        <color rgb="FF8EAADB"/>
      </bottom>
      <diagonal/>
    </border>
    <border>
      <left/>
      <right/>
      <top style="thin">
        <color rgb="FF8EAADB"/>
      </top>
      <bottom style="thin">
        <color rgb="FF8EAADB"/>
      </bottom>
      <diagonal/>
    </border>
    <border>
      <left/>
      <right/>
      <top style="thin">
        <color rgb="FF8EAADB"/>
      </top>
      <bottom/>
      <diagonal/>
    </border>
    <border>
      <left/>
      <right style="thin">
        <color theme="9"/>
      </right>
      <top/>
      <bottom style="thin">
        <color theme="9"/>
      </bottom>
      <diagonal/>
    </border>
    <border>
      <left style="thin">
        <color theme="9"/>
      </left>
      <right style="thin">
        <color theme="9"/>
      </right>
      <top/>
      <bottom style="thin">
        <color theme="9"/>
      </bottom>
      <diagonal/>
    </border>
    <border>
      <left style="thin">
        <color theme="9"/>
      </left>
      <right/>
      <top/>
      <bottom style="thin">
        <color theme="9"/>
      </bottom>
      <diagonal/>
    </border>
    <border>
      <left/>
      <right style="thin">
        <color theme="5"/>
      </right>
      <top/>
      <bottom style="thin">
        <color theme="5"/>
      </bottom>
      <diagonal/>
    </border>
    <border>
      <left style="thin">
        <color theme="5"/>
      </left>
      <right style="thin">
        <color theme="5"/>
      </right>
      <top/>
      <bottom style="thin">
        <color theme="5"/>
      </bottom>
      <diagonal/>
    </border>
    <border>
      <left style="thin">
        <color theme="5"/>
      </left>
      <right/>
      <top/>
      <bottom style="thin">
        <color theme="5"/>
      </bottom>
      <diagonal/>
    </border>
    <border>
      <left/>
      <right style="thin">
        <color theme="8"/>
      </right>
      <top/>
      <bottom style="thin">
        <color theme="8"/>
      </bottom>
      <diagonal/>
    </border>
    <border>
      <left style="thin">
        <color theme="8"/>
      </left>
      <right style="thin">
        <color theme="8"/>
      </right>
      <top/>
      <bottom style="thin">
        <color theme="8"/>
      </bottom>
      <diagonal/>
    </border>
    <border>
      <left style="thin">
        <color theme="8"/>
      </left>
      <right/>
      <top/>
      <bottom style="thin">
        <color theme="8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/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theme="8"/>
      </left>
      <right/>
      <top style="thin">
        <color theme="8"/>
      </top>
      <bottom style="thin">
        <color theme="8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/>
      <right style="thin">
        <color theme="5"/>
      </right>
      <top style="thin">
        <color theme="5"/>
      </top>
      <bottom/>
      <diagonal/>
    </border>
    <border>
      <left style="thin">
        <color theme="5"/>
      </left>
      <right style="thin">
        <color theme="5"/>
      </right>
      <top style="thin">
        <color theme="5"/>
      </top>
      <bottom/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theme="8"/>
      </left>
      <right/>
      <top style="thin">
        <color theme="8"/>
      </top>
      <bottom style="thin">
        <color theme="8"/>
      </bottom>
      <diagonal/>
    </border>
    <border>
      <left/>
      <right style="thin">
        <color theme="8"/>
      </right>
      <top style="thin">
        <color theme="8"/>
      </top>
      <bottom/>
      <diagonal/>
    </border>
    <border>
      <left style="thin">
        <color theme="8"/>
      </left>
      <right style="thin">
        <color theme="8"/>
      </right>
      <top style="thin">
        <color theme="8"/>
      </top>
      <bottom/>
      <diagonal/>
    </border>
    <border>
      <left style="thin">
        <color theme="8"/>
      </left>
      <right/>
      <top style="thin">
        <color theme="8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 style="thin">
        <color theme="5"/>
      </right>
      <top style="thin">
        <color theme="5"/>
      </top>
      <bottom/>
      <diagonal/>
    </border>
    <border>
      <left style="thin">
        <color theme="5"/>
      </left>
      <right style="thin">
        <color theme="5"/>
      </right>
      <top style="thin">
        <color theme="5"/>
      </top>
      <bottom/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 style="thin">
        <color theme="8"/>
      </right>
      <top style="thin">
        <color theme="8"/>
      </top>
      <bottom/>
      <diagonal/>
    </border>
    <border>
      <left style="thin">
        <color theme="8"/>
      </left>
      <right style="thin">
        <color theme="8"/>
      </right>
      <top style="thin">
        <color theme="8"/>
      </top>
      <bottom/>
      <diagonal/>
    </border>
    <border>
      <left style="thin">
        <color theme="8"/>
      </left>
      <right/>
      <top style="thin">
        <color theme="8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/>
      <diagonal/>
    </border>
  </borders>
  <cellStyleXfs count="1">
    <xf numFmtId="0" fontId="0" fillId="0" borderId="0"/>
  </cellStyleXfs>
  <cellXfs count="13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5" fillId="5" borderId="4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17" fontId="5" fillId="2" borderId="4" xfId="0" applyNumberFormat="1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6" fillId="0" borderId="0" xfId="0" applyFont="1"/>
    <xf numFmtId="0" fontId="7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9" fontId="1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5" fillId="5" borderId="6" xfId="0" applyFont="1" applyFill="1" applyBorder="1" applyAlignment="1">
      <alignment horizontal="left"/>
    </xf>
    <xf numFmtId="0" fontId="2" fillId="6" borderId="7" xfId="0" applyFont="1" applyFill="1" applyBorder="1"/>
    <xf numFmtId="0" fontId="2" fillId="0" borderId="8" xfId="0" applyFont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0" borderId="8" xfId="0" applyFont="1" applyBorder="1"/>
    <xf numFmtId="0" fontId="2" fillId="6" borderId="7" xfId="0" applyFont="1" applyFill="1" applyBorder="1" applyAlignment="1">
      <alignment horizontal="center"/>
    </xf>
    <xf numFmtId="0" fontId="2" fillId="6" borderId="9" xfId="0" applyFont="1" applyFill="1" applyBorder="1"/>
    <xf numFmtId="0" fontId="2" fillId="6" borderId="9" xfId="0" applyFont="1" applyFill="1" applyBorder="1" applyAlignment="1">
      <alignment horizontal="center"/>
    </xf>
    <xf numFmtId="9" fontId="2" fillId="6" borderId="9" xfId="0" applyNumberFormat="1" applyFont="1" applyFill="1" applyBorder="1" applyAlignment="1">
      <alignment horizontal="center"/>
    </xf>
    <xf numFmtId="0" fontId="5" fillId="7" borderId="10" xfId="0" applyFont="1" applyFill="1" applyBorder="1" applyAlignment="1">
      <alignment horizontal="left"/>
    </xf>
    <xf numFmtId="0" fontId="2" fillId="8" borderId="11" xfId="0" applyFont="1" applyFill="1" applyBorder="1"/>
    <xf numFmtId="0" fontId="2" fillId="8" borderId="11" xfId="0" applyFont="1" applyFill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/>
    <xf numFmtId="0" fontId="2" fillId="0" borderId="13" xfId="0" applyFont="1" applyBorder="1" applyAlignment="1">
      <alignment horizontal="center"/>
    </xf>
    <xf numFmtId="0" fontId="2" fillId="0" borderId="14" xfId="0" applyFont="1" applyBorder="1"/>
    <xf numFmtId="0" fontId="2" fillId="0" borderId="14" xfId="0" applyFont="1" applyBorder="1" applyAlignment="1">
      <alignment horizontal="center"/>
    </xf>
    <xf numFmtId="9" fontId="2" fillId="0" borderId="14" xfId="0" applyNumberFormat="1" applyFont="1" applyBorder="1" applyAlignment="1">
      <alignment horizontal="center"/>
    </xf>
    <xf numFmtId="0" fontId="8" fillId="0" borderId="0" xfId="0" applyFont="1"/>
    <xf numFmtId="0" fontId="9" fillId="0" borderId="0" xfId="0" applyFont="1" applyAlignment="1">
      <alignment wrapText="1"/>
    </xf>
    <xf numFmtId="0" fontId="10" fillId="0" borderId="0" xfId="0" applyFont="1"/>
    <xf numFmtId="0" fontId="1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2" fillId="0" borderId="0" xfId="0" applyFont="1"/>
    <xf numFmtId="0" fontId="1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7" fillId="9" borderId="4" xfId="0" applyFont="1" applyFill="1" applyBorder="1" applyAlignment="1">
      <alignment horizontal="left"/>
    </xf>
    <xf numFmtId="0" fontId="7" fillId="10" borderId="4" xfId="0" applyFont="1" applyFill="1" applyBorder="1" applyAlignment="1">
      <alignment horizontal="left"/>
    </xf>
    <xf numFmtId="0" fontId="2" fillId="10" borderId="4" xfId="0" applyFont="1" applyFill="1" applyBorder="1"/>
    <xf numFmtId="0" fontId="7" fillId="0" borderId="0" xfId="0" applyFont="1" applyAlignment="1">
      <alignment horizontal="left"/>
    </xf>
    <xf numFmtId="0" fontId="2" fillId="9" borderId="4" xfId="0" applyFont="1" applyFill="1" applyBorder="1"/>
    <xf numFmtId="0" fontId="14" fillId="0" borderId="0" xfId="0" applyFont="1"/>
    <xf numFmtId="0" fontId="8" fillId="0" borderId="0" xfId="0" applyFont="1" applyAlignment="1">
      <alignment horizontal="center"/>
    </xf>
    <xf numFmtId="0" fontId="13" fillId="0" borderId="15" xfId="0" applyFont="1" applyBorder="1"/>
    <xf numFmtId="0" fontId="13" fillId="0" borderId="16" xfId="0" applyFont="1" applyBorder="1"/>
    <xf numFmtId="0" fontId="13" fillId="0" borderId="17" xfId="0" applyFont="1" applyBorder="1"/>
    <xf numFmtId="0" fontId="13" fillId="0" borderId="18" xfId="0" applyFont="1" applyBorder="1" applyAlignment="1">
      <alignment horizontal="center"/>
    </xf>
    <xf numFmtId="0" fontId="13" fillId="0" borderId="19" xfId="0" applyFont="1" applyBorder="1" applyAlignment="1">
      <alignment horizontal="left" vertical="center"/>
    </xf>
    <xf numFmtId="0" fontId="13" fillId="0" borderId="19" xfId="0" applyFont="1" applyBorder="1"/>
    <xf numFmtId="0" fontId="13" fillId="0" borderId="20" xfId="0" applyFont="1" applyBorder="1"/>
    <xf numFmtId="0" fontId="13" fillId="0" borderId="21" xfId="0" applyFont="1" applyBorder="1" applyAlignment="1">
      <alignment horizontal="center"/>
    </xf>
    <xf numFmtId="0" fontId="13" fillId="0" borderId="22" xfId="0" applyFont="1" applyBorder="1" applyAlignment="1">
      <alignment horizontal="left" vertical="center"/>
    </xf>
    <xf numFmtId="0" fontId="13" fillId="0" borderId="23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24" xfId="0" applyFont="1" applyBorder="1" applyAlignment="1">
      <alignment horizontal="center"/>
    </xf>
    <xf numFmtId="0" fontId="2" fillId="0" borderId="25" xfId="0" applyFont="1" applyBorder="1" applyAlignment="1">
      <alignment horizontal="left" vertical="center"/>
    </xf>
    <xf numFmtId="0" fontId="2" fillId="0" borderId="25" xfId="0" applyFont="1" applyBorder="1"/>
    <xf numFmtId="0" fontId="2" fillId="0" borderId="26" xfId="0" applyFont="1" applyBorder="1"/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left" vertical="center"/>
    </xf>
    <xf numFmtId="0" fontId="2" fillId="0" borderId="28" xfId="0" applyFont="1" applyBorder="1"/>
    <xf numFmtId="0" fontId="2" fillId="0" borderId="29" xfId="0" applyFont="1" applyBorder="1"/>
    <xf numFmtId="0" fontId="2" fillId="0" borderId="30" xfId="0" applyFont="1" applyBorder="1" applyAlignment="1">
      <alignment horizontal="center"/>
    </xf>
    <xf numFmtId="0" fontId="2" fillId="0" borderId="31" xfId="0" applyFont="1" applyBorder="1" applyAlignment="1">
      <alignment horizontal="left" vertical="center"/>
    </xf>
    <xf numFmtId="0" fontId="2" fillId="0" borderId="32" xfId="0" applyFont="1" applyBorder="1" applyAlignment="1">
      <alignment horizontal="left" vertical="center"/>
    </xf>
    <xf numFmtId="0" fontId="2" fillId="0" borderId="31" xfId="0" applyFont="1" applyBorder="1"/>
    <xf numFmtId="0" fontId="2" fillId="0" borderId="32" xfId="0" applyFont="1" applyBorder="1"/>
    <xf numFmtId="0" fontId="2" fillId="11" borderId="33" xfId="0" applyFont="1" applyFill="1" applyBorder="1" applyAlignment="1">
      <alignment horizontal="center"/>
    </xf>
    <xf numFmtId="0" fontId="2" fillId="11" borderId="25" xfId="0" applyFont="1" applyFill="1" applyBorder="1" applyAlignment="1">
      <alignment horizontal="left" vertical="center"/>
    </xf>
    <xf numFmtId="0" fontId="2" fillId="11" borderId="25" xfId="0" applyFont="1" applyFill="1" applyBorder="1"/>
    <xf numFmtId="0" fontId="2" fillId="11" borderId="34" xfId="0" applyFont="1" applyFill="1" applyBorder="1"/>
    <xf numFmtId="0" fontId="2" fillId="9" borderId="35" xfId="0" applyFont="1" applyFill="1" applyBorder="1" applyAlignment="1">
      <alignment horizontal="center"/>
    </xf>
    <xf numFmtId="0" fontId="2" fillId="9" borderId="28" xfId="0" applyFont="1" applyFill="1" applyBorder="1" applyAlignment="1">
      <alignment horizontal="left" vertical="center"/>
    </xf>
    <xf numFmtId="0" fontId="2" fillId="9" borderId="28" xfId="0" applyFont="1" applyFill="1" applyBorder="1"/>
    <xf numFmtId="0" fontId="2" fillId="9" borderId="36" xfId="0" applyFont="1" applyFill="1" applyBorder="1"/>
    <xf numFmtId="0" fontId="2" fillId="9" borderId="37" xfId="0" applyFont="1" applyFill="1" applyBorder="1" applyAlignment="1">
      <alignment horizontal="center"/>
    </xf>
    <xf numFmtId="0" fontId="2" fillId="9" borderId="38" xfId="0" applyFont="1" applyFill="1" applyBorder="1" applyAlignment="1">
      <alignment horizontal="left" vertical="center"/>
    </xf>
    <xf numFmtId="0" fontId="2" fillId="9" borderId="38" xfId="0" applyFont="1" applyFill="1" applyBorder="1"/>
    <xf numFmtId="0" fontId="2" fillId="9" borderId="39" xfId="0" applyFont="1" applyFill="1" applyBorder="1"/>
    <xf numFmtId="0" fontId="2" fillId="12" borderId="35" xfId="0" applyFont="1" applyFill="1" applyBorder="1" applyAlignment="1">
      <alignment horizontal="center"/>
    </xf>
    <xf numFmtId="0" fontId="2" fillId="12" borderId="28" xfId="0" applyFont="1" applyFill="1" applyBorder="1" applyAlignment="1">
      <alignment horizontal="left" vertical="center"/>
    </xf>
    <xf numFmtId="0" fontId="2" fillId="12" borderId="28" xfId="0" applyFont="1" applyFill="1" applyBorder="1"/>
    <xf numFmtId="0" fontId="2" fillId="12" borderId="36" xfId="0" applyFont="1" applyFill="1" applyBorder="1"/>
    <xf numFmtId="0" fontId="2" fillId="12" borderId="36" xfId="0" applyFont="1" applyFill="1" applyBorder="1" applyAlignment="1">
      <alignment wrapText="1"/>
    </xf>
    <xf numFmtId="0" fontId="2" fillId="6" borderId="40" xfId="0" applyFont="1" applyFill="1" applyBorder="1" applyAlignment="1">
      <alignment horizontal="center"/>
    </xf>
    <xf numFmtId="0" fontId="2" fillId="6" borderId="31" xfId="0" applyFont="1" applyFill="1" applyBorder="1" applyAlignment="1">
      <alignment horizontal="left" vertical="center"/>
    </xf>
    <xf numFmtId="0" fontId="2" fillId="6" borderId="41" xfId="0" applyFont="1" applyFill="1" applyBorder="1" applyAlignment="1">
      <alignment horizontal="left" vertical="center"/>
    </xf>
    <xf numFmtId="0" fontId="2" fillId="6" borderId="4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6" borderId="42" xfId="0" applyFont="1" applyFill="1" applyBorder="1" applyAlignment="1">
      <alignment horizontal="center"/>
    </xf>
    <xf numFmtId="0" fontId="2" fillId="6" borderId="43" xfId="0" applyFont="1" applyFill="1" applyBorder="1" applyAlignment="1">
      <alignment horizontal="left" vertical="center"/>
    </xf>
    <xf numFmtId="0" fontId="2" fillId="6" borderId="44" xfId="0" applyFont="1" applyFill="1" applyBorder="1" applyAlignment="1">
      <alignment horizontal="left" vertical="center"/>
    </xf>
    <xf numFmtId="0" fontId="2" fillId="11" borderId="45" xfId="0" applyFont="1" applyFill="1" applyBorder="1" applyAlignment="1">
      <alignment horizontal="center"/>
    </xf>
    <xf numFmtId="0" fontId="2" fillId="11" borderId="46" xfId="0" applyFont="1" applyFill="1" applyBorder="1" applyAlignment="1">
      <alignment horizontal="left" vertical="center"/>
    </xf>
    <xf numFmtId="0" fontId="2" fillId="11" borderId="46" xfId="0" applyFont="1" applyFill="1" applyBorder="1"/>
    <xf numFmtId="0" fontId="2" fillId="11" borderId="47" xfId="0" applyFont="1" applyFill="1" applyBorder="1"/>
    <xf numFmtId="0" fontId="2" fillId="12" borderId="40" xfId="0" applyFont="1" applyFill="1" applyBorder="1" applyAlignment="1">
      <alignment horizontal="center"/>
    </xf>
    <xf numFmtId="0" fontId="2" fillId="12" borderId="31" xfId="0" applyFont="1" applyFill="1" applyBorder="1" applyAlignment="1">
      <alignment horizontal="left" vertical="center"/>
    </xf>
    <xf numFmtId="0" fontId="2" fillId="12" borderId="41" xfId="0" applyFont="1" applyFill="1" applyBorder="1" applyAlignment="1">
      <alignment horizontal="left" vertical="center"/>
    </xf>
    <xf numFmtId="0" fontId="2" fillId="12" borderId="31" xfId="0" applyFont="1" applyFill="1" applyBorder="1" applyAlignment="1">
      <alignment horizontal="left" vertical="center" wrapText="1"/>
    </xf>
    <xf numFmtId="0" fontId="2" fillId="12" borderId="33" xfId="0" applyFont="1" applyFill="1" applyBorder="1" applyAlignment="1">
      <alignment horizontal="center"/>
    </xf>
    <xf numFmtId="0" fontId="2" fillId="12" borderId="25" xfId="0" applyFont="1" applyFill="1" applyBorder="1" applyAlignment="1">
      <alignment horizontal="left" vertical="center"/>
    </xf>
    <xf numFmtId="0" fontId="2" fillId="12" borderId="25" xfId="0" applyFont="1" applyFill="1" applyBorder="1"/>
    <xf numFmtId="0" fontId="2" fillId="12" borderId="34" xfId="0" applyFont="1" applyFill="1" applyBorder="1"/>
    <xf numFmtId="0" fontId="15" fillId="12" borderId="4" xfId="0" applyFont="1" applyFill="1" applyBorder="1" applyAlignment="1">
      <alignment wrapText="1"/>
    </xf>
    <xf numFmtId="0" fontId="2" fillId="12" borderId="41" xfId="0" applyFont="1" applyFill="1" applyBorder="1" applyAlignment="1">
      <alignment horizontal="left"/>
    </xf>
    <xf numFmtId="0" fontId="2" fillId="0" borderId="48" xfId="0" applyFont="1" applyBorder="1" applyAlignment="1">
      <alignment horizontal="center"/>
    </xf>
    <xf numFmtId="0" fontId="2" fillId="0" borderId="49" xfId="0" applyFont="1" applyBorder="1" applyAlignment="1">
      <alignment horizontal="left" vertical="center"/>
    </xf>
    <xf numFmtId="0" fontId="2" fillId="0" borderId="49" xfId="0" applyFont="1" applyBorder="1"/>
    <xf numFmtId="0" fontId="2" fillId="0" borderId="50" xfId="0" applyFont="1" applyBorder="1"/>
    <xf numFmtId="0" fontId="2" fillId="0" borderId="0" xfId="0" applyFont="1" applyAlignment="1">
      <alignment horizontal="left"/>
    </xf>
    <xf numFmtId="0" fontId="2" fillId="12" borderId="25" xfId="0" applyFont="1" applyFill="1" applyBorder="1" applyAlignment="1">
      <alignment horizontal="left" wrapText="1"/>
    </xf>
    <xf numFmtId="0" fontId="2" fillId="12" borderId="25" xfId="0" applyFont="1" applyFill="1" applyBorder="1" applyAlignment="1">
      <alignment horizontal="left"/>
    </xf>
    <xf numFmtId="0" fontId="2" fillId="11" borderId="25" xfId="0" applyFont="1" applyFill="1" applyBorder="1" applyAlignment="1">
      <alignment horizontal="left"/>
    </xf>
    <xf numFmtId="0" fontId="2" fillId="0" borderId="51" xfId="0" applyFont="1" applyBorder="1" applyAlignment="1">
      <alignment horizontal="center"/>
    </xf>
    <xf numFmtId="0" fontId="2" fillId="0" borderId="52" xfId="0" applyFont="1" applyBorder="1" applyAlignment="1">
      <alignment horizontal="left" vertical="center"/>
    </xf>
    <xf numFmtId="0" fontId="2" fillId="0" borderId="53" xfId="0" applyFont="1" applyBorder="1" applyAlignment="1">
      <alignment horizontal="left" vertical="center"/>
    </xf>
    <xf numFmtId="0" fontId="2" fillId="0" borderId="54" xfId="0" applyFont="1" applyBorder="1" applyAlignment="1">
      <alignment horizontal="center"/>
    </xf>
    <xf numFmtId="0" fontId="2" fillId="0" borderId="55" xfId="0" applyFont="1" applyBorder="1" applyAlignment="1">
      <alignment horizontal="left" vertical="center"/>
    </xf>
    <xf numFmtId="0" fontId="2" fillId="0" borderId="55" xfId="0" applyFont="1" applyBorder="1"/>
    <xf numFmtId="0" fontId="2" fillId="0" borderId="56" xfId="0" applyFont="1" applyBorder="1"/>
    <xf numFmtId="0" fontId="3" fillId="2" borderId="1" xfId="0" applyFont="1" applyFill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7" fontId="5" fillId="4" borderId="4" xfId="0" applyNumberFormat="1" applyFont="1" applyFill="1" applyBorder="1" applyAlignment="1">
      <alignment horizontal="center"/>
    </xf>
    <xf numFmtId="0" fontId="4" fillId="0" borderId="4" xfId="0" applyFont="1" applyBorder="1"/>
    <xf numFmtId="0" fontId="5" fillId="3" borderId="4" xfId="0" quotePrefix="1" applyFont="1" applyFill="1" applyBorder="1" applyAlignment="1">
      <alignment horizontal="center"/>
    </xf>
  </cellXfs>
  <cellStyles count="1">
    <cellStyle name="Normal" xfId="0" builtinId="0"/>
  </cellStyles>
  <dxfs count="18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3" formatCode="0%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3" formatCode="0%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3" formatCode="0%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3" formatCode="0%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3" formatCode="0%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3" formatCode="0%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3" formatCode="0%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3" formatCode="0%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3" formatCode="0%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FF3399"/>
      </font>
      <fill>
        <patternFill patternType="solid">
          <fgColor rgb="FFFFCCFF"/>
          <bgColor rgb="FFFFCCFF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FF3399"/>
      </font>
      <fill>
        <patternFill patternType="solid">
          <fgColor rgb="FFFFCCFF"/>
          <bgColor rgb="FFFFCCFF"/>
        </patternFill>
      </fill>
    </dxf>
    <dxf>
      <font>
        <color rgb="FF7030A0"/>
      </font>
      <fill>
        <patternFill patternType="solid">
          <fgColor rgb="FFCCCCFF"/>
          <bgColor rgb="FFCCCCFF"/>
        </patternFill>
      </fill>
    </dxf>
    <dxf>
      <font>
        <color rgb="FF0099CC"/>
      </font>
      <fill>
        <patternFill patternType="solid">
          <fgColor rgb="FFCCFFFF"/>
          <bgColor rgb="FFCCFFFF"/>
        </patternFill>
      </fill>
    </dxf>
    <dxf>
      <font>
        <color rgb="FF008000"/>
      </font>
      <fill>
        <patternFill patternType="solid">
          <fgColor rgb="FF99FF99"/>
          <bgColor rgb="FF99FF99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8000"/>
      </font>
      <fill>
        <patternFill patternType="solid">
          <fgColor rgb="FF99FF99"/>
          <bgColor rgb="FF99FF99"/>
        </patternFill>
      </fill>
    </dxf>
    <dxf>
      <font>
        <color rgb="FF7030A0"/>
      </font>
      <fill>
        <patternFill patternType="solid">
          <fgColor rgb="FFCCCCFF"/>
          <bgColor rgb="FFCCCCFF"/>
        </patternFill>
      </fill>
    </dxf>
    <dxf>
      <font>
        <color rgb="FF0099CC"/>
      </font>
      <fill>
        <patternFill patternType="solid">
          <fgColor rgb="FFCCFFFF"/>
          <bgColor rgb="FFCCFFFF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FF3399"/>
      </font>
      <fill>
        <patternFill patternType="solid">
          <fgColor rgb="FFFFCCFF"/>
          <bgColor rgb="FFFFCC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7F7F7F"/>
      </font>
      <fill>
        <patternFill patternType="solid">
          <fgColor rgb="FFF2F2F2"/>
          <bgColor rgb="FFF2F2F2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833C0B"/>
      </font>
      <fill>
        <patternFill patternType="solid">
          <fgColor rgb="FFFFD5AB"/>
          <bgColor rgb="FFFFD5AB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7F7F7F"/>
      </font>
      <fill>
        <patternFill patternType="solid">
          <fgColor rgb="FFF2F2F2"/>
          <bgColor rgb="FFF2F2F2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7F7F7F"/>
      </font>
      <fill>
        <patternFill patternType="solid">
          <fgColor rgb="FFF2F2F2"/>
          <bgColor rgb="FFF2F2F2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833C0B"/>
      </font>
      <fill>
        <patternFill patternType="solid">
          <fgColor rgb="FFF5E6D1"/>
          <bgColor rgb="FFF5E6D1"/>
        </patternFill>
      </fill>
    </dxf>
    <dxf>
      <font>
        <color rgb="FF805B00"/>
      </font>
      <fill>
        <patternFill patternType="solid">
          <fgColor rgb="FFFFFFCC"/>
          <bgColor rgb="FFFFFFCC"/>
        </patternFill>
      </fill>
    </dxf>
    <dxf>
      <font>
        <color rgb="FFC00000"/>
      </font>
      <fill>
        <patternFill patternType="solid">
          <fgColor rgb="FFFFCCCC"/>
          <bgColor rgb="FFFFCCCC"/>
        </patternFill>
      </fill>
    </dxf>
    <dxf>
      <font>
        <color rgb="FF006600"/>
      </font>
      <fill>
        <patternFill patternType="solid">
          <fgColor rgb="FFCCFFCC"/>
          <bgColor rgb="FFCCFFCC"/>
        </patternFill>
      </fill>
    </dxf>
    <dxf>
      <font>
        <color rgb="FF996600"/>
      </font>
      <fill>
        <patternFill patternType="solid">
          <fgColor rgb="FFFFFFCC"/>
          <bgColor rgb="FFFFFFCC"/>
        </patternFill>
      </fill>
    </dxf>
    <dxf>
      <font>
        <color rgb="FF833C0B"/>
      </font>
      <fill>
        <patternFill patternType="solid">
          <fgColor rgb="FFF7CAAC"/>
          <bgColor rgb="FFF7CAA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7030A0"/>
      </font>
      <fill>
        <patternFill patternType="solid">
          <fgColor rgb="FFF2DDFF"/>
          <bgColor rgb="FFF2DDFF"/>
        </patternFill>
      </fill>
    </dxf>
    <dxf>
      <font>
        <color rgb="FF7F6000"/>
      </font>
      <fill>
        <patternFill patternType="solid">
          <fgColor rgb="FFFFFFCC"/>
          <bgColor rgb="FFFFFFCC"/>
        </patternFill>
      </fill>
    </dxf>
    <dxf>
      <font>
        <color rgb="FF006699"/>
      </font>
      <fill>
        <patternFill patternType="solid">
          <fgColor rgb="FFCCFFFF"/>
          <bgColor rgb="FFCCFFFF"/>
        </patternFill>
      </fill>
    </dxf>
    <dxf>
      <font>
        <color rgb="FFCC00CC"/>
      </font>
      <fill>
        <patternFill patternType="solid">
          <fgColor rgb="FFFFCCFF"/>
          <bgColor rgb="FFFFCCFF"/>
        </patternFill>
      </fill>
    </dxf>
    <dxf>
      <font>
        <color rgb="FF6600CC"/>
      </font>
      <fill>
        <patternFill patternType="solid">
          <fgColor rgb="FFCCCCFF"/>
          <bgColor rgb="FFCCCCFF"/>
        </patternFill>
      </fill>
    </dxf>
    <dxf>
      <font>
        <color rgb="FF3F3F3F"/>
      </font>
      <fill>
        <patternFill patternType="solid">
          <fgColor rgb="FFF2F2F2"/>
          <bgColor rgb="FFF2F2F2"/>
        </patternFill>
      </fill>
    </dxf>
    <dxf>
      <font>
        <color rgb="FF7F6000"/>
      </font>
      <fill>
        <patternFill patternType="solid">
          <fgColor rgb="FFFEF2CB"/>
          <bgColor rgb="FFFEF2CB"/>
        </patternFill>
      </fill>
    </dxf>
    <dxf>
      <font>
        <color rgb="FF840000"/>
      </font>
      <fill>
        <patternFill patternType="solid">
          <fgColor rgb="FFFFCDCD"/>
          <bgColor rgb="FFFFCDCD"/>
        </patternFill>
      </fill>
    </dxf>
    <dxf>
      <font>
        <color rgb="FFCC0099"/>
      </font>
      <fill>
        <patternFill patternType="solid">
          <fgColor rgb="FFFFE7FF"/>
          <bgColor rgb="FFFFE7FF"/>
        </patternFill>
      </fill>
    </dxf>
    <dxf>
      <font>
        <color rgb="FF7F7F7F"/>
      </font>
      <fill>
        <patternFill patternType="solid">
          <fgColor rgb="FFF2F2F2"/>
          <bgColor rgb="FFF2F2F2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833C0B"/>
      </font>
      <fill>
        <patternFill patternType="solid">
          <fgColor rgb="FFF1DBC5"/>
          <bgColor rgb="FFF1DBC5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7F6000"/>
      </font>
      <fill>
        <patternFill patternType="solid">
          <fgColor rgb="FFFFFFCC"/>
          <bgColor rgb="FFFFFFCC"/>
        </patternFill>
      </fill>
    </dxf>
    <dxf>
      <font>
        <color rgb="FF006699"/>
      </font>
      <fill>
        <patternFill patternType="solid">
          <fgColor rgb="FFCCFFFF"/>
          <bgColor rgb="FFCCFFFF"/>
        </patternFill>
      </fill>
    </dxf>
    <dxf>
      <font>
        <color rgb="FFCC00CC"/>
      </font>
      <fill>
        <patternFill patternType="solid">
          <fgColor rgb="FFFFCCFF"/>
          <bgColor rgb="FFFFCCFF"/>
        </patternFill>
      </fill>
    </dxf>
    <dxf>
      <font>
        <color rgb="FF6600CC"/>
      </font>
      <fill>
        <patternFill patternType="solid">
          <fgColor rgb="FFCCCCFF"/>
          <bgColor rgb="FFCCCCFF"/>
        </patternFill>
      </fill>
    </dxf>
    <dxf>
      <font>
        <color rgb="FF3F3F3F"/>
      </font>
      <fill>
        <patternFill patternType="solid">
          <fgColor rgb="FFF2F2F2"/>
          <bgColor rgb="FFF2F2F2"/>
        </patternFill>
      </fill>
    </dxf>
    <dxf>
      <font>
        <color rgb="FFC55A11"/>
      </font>
      <fill>
        <patternFill patternType="solid">
          <fgColor rgb="FFFBE4D5"/>
          <bgColor rgb="FFFBE4D5"/>
        </patternFill>
      </fill>
    </dxf>
    <dxf>
      <font>
        <color rgb="FF7F6000"/>
      </font>
      <fill>
        <patternFill patternType="solid">
          <fgColor rgb="FFFEF2CB"/>
          <bgColor rgb="FFFEF2CB"/>
        </patternFill>
      </fill>
    </dxf>
    <dxf>
      <font>
        <color rgb="FF7F6000"/>
      </font>
      <fill>
        <patternFill patternType="solid">
          <fgColor rgb="FFFEF2CB"/>
          <bgColor rgb="FFFEF2CB"/>
        </patternFill>
      </fill>
    </dxf>
    <dxf>
      <font>
        <color rgb="FFCC0099"/>
      </font>
      <fill>
        <patternFill patternType="solid">
          <fgColor rgb="FFFFE7FF"/>
          <bgColor rgb="FFFFE7FF"/>
        </patternFill>
      </fill>
    </dxf>
    <dxf>
      <font>
        <color rgb="FFCC0099"/>
      </font>
      <fill>
        <patternFill patternType="solid">
          <fgColor rgb="FFFFE7FF"/>
          <bgColor rgb="FFFFE7FF"/>
        </patternFill>
      </fill>
    </dxf>
    <dxf>
      <font>
        <color rgb="FFCC0099"/>
      </font>
      <fill>
        <patternFill patternType="solid">
          <fgColor rgb="FFFFE7FF"/>
          <bgColor rgb="FFFFE7FF"/>
        </patternFill>
      </fill>
    </dxf>
    <dxf>
      <font>
        <color rgb="FF3F3F3F"/>
      </font>
      <fill>
        <patternFill patternType="solid">
          <fgColor rgb="FFF2F2F2"/>
          <bgColor rgb="FFF2F2F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8"/>
          <bgColor theme="8"/>
        </patternFill>
      </fill>
    </dxf>
  </dxfs>
  <tableStyles count="24">
    <tableStyle name="2026 EOM and Scores-style" pivot="0" count="4" xr9:uid="{00000000-0011-0000-FFFF-FFFF00000000}">
      <tableStyleElement type="headerRow" dxfId="183"/>
      <tableStyleElement type="totalRow" dxfId="182"/>
      <tableStyleElement type="firstRowStripe" dxfId="181"/>
      <tableStyleElement type="secondRowStripe" dxfId="180"/>
    </tableStyle>
    <tableStyle name="2025 EOM Declarations-style" pivot="0" count="4" xr9:uid="{00000000-0011-0000-FFFF-FFFF01000000}">
      <tableStyleElement type="headerRow" dxfId="179"/>
      <tableStyleElement type="totalRow" dxfId="178"/>
      <tableStyleElement type="firstRowStripe" dxfId="177"/>
      <tableStyleElement type="secondRowStripe" dxfId="176"/>
    </tableStyle>
    <tableStyle name="2025 EOM Declarations-style 2" pivot="0" count="4" xr9:uid="{00000000-0011-0000-FFFF-FFFF02000000}">
      <tableStyleElement type="headerRow" dxfId="175"/>
      <tableStyleElement type="totalRow" dxfId="174"/>
      <tableStyleElement type="firstRowStripe" dxfId="173"/>
      <tableStyleElement type="secondRowStripe" dxfId="172"/>
    </tableStyle>
    <tableStyle name="May Workshop Allocations-style" pivot="0" count="3" xr9:uid="{00000000-0011-0000-FFFF-FFFF03000000}">
      <tableStyleElement type="headerRow" dxfId="171"/>
      <tableStyleElement type="firstRowStripe" dxfId="170"/>
      <tableStyleElement type="secondRowStripe" dxfId="169"/>
    </tableStyle>
    <tableStyle name="May Workshop Allocations-style 2" pivot="0" count="3" xr9:uid="{00000000-0011-0000-FFFF-FFFF04000000}">
      <tableStyleElement type="headerRow" dxfId="168"/>
      <tableStyleElement type="firstRowStripe" dxfId="167"/>
      <tableStyleElement type="secondRowStripe" dxfId="166"/>
    </tableStyle>
    <tableStyle name="May Workshop Allocations-style 3" pivot="0" count="3" xr9:uid="{00000000-0011-0000-FFFF-FFFF05000000}">
      <tableStyleElement type="headerRow" dxfId="165"/>
      <tableStyleElement type="firstRowStripe" dxfId="164"/>
      <tableStyleElement type="secondRowStripe" dxfId="163"/>
    </tableStyle>
    <tableStyle name="May Workshop Allocations-style 4" pivot="0" count="3" xr9:uid="{00000000-0011-0000-FFFF-FFFF06000000}">
      <tableStyleElement type="headerRow" dxfId="162"/>
      <tableStyleElement type="firstRowStripe" dxfId="161"/>
      <tableStyleElement type="secondRowStripe" dxfId="160"/>
    </tableStyle>
    <tableStyle name="May Workshop Allocations-style 5" pivot="0" count="3" xr9:uid="{00000000-0011-0000-FFFF-FFFF07000000}">
      <tableStyleElement type="headerRow" dxfId="159"/>
      <tableStyleElement type="firstRowStripe" dxfId="158"/>
      <tableStyleElement type="secondRowStripe" dxfId="157"/>
    </tableStyle>
    <tableStyle name="May Workshop Allocations-style 6" pivot="0" count="3" xr9:uid="{00000000-0011-0000-FFFF-FFFF08000000}">
      <tableStyleElement type="headerRow" dxfId="156"/>
      <tableStyleElement type="firstRowStripe" dxfId="155"/>
      <tableStyleElement type="secondRowStripe" dxfId="154"/>
    </tableStyle>
    <tableStyle name="Apr Workshop Allocations-style" pivot="0" count="3" xr9:uid="{00000000-0011-0000-FFFF-FFFF09000000}">
      <tableStyleElement type="headerRow" dxfId="153"/>
      <tableStyleElement type="firstRowStripe" dxfId="152"/>
      <tableStyleElement type="secondRowStripe" dxfId="151"/>
    </tableStyle>
    <tableStyle name="Apr Workshop Allocations-style 2" pivot="0" count="3" xr9:uid="{00000000-0011-0000-FFFF-FFFF0A000000}">
      <tableStyleElement type="headerRow" dxfId="150"/>
      <tableStyleElement type="firstRowStripe" dxfId="149"/>
      <tableStyleElement type="secondRowStripe" dxfId="148"/>
    </tableStyle>
    <tableStyle name="Apr Workshop Allocations-style 3" pivot="0" count="3" xr9:uid="{00000000-0011-0000-FFFF-FFFF0B000000}">
      <tableStyleElement type="headerRow" dxfId="147"/>
      <tableStyleElement type="firstRowStripe" dxfId="146"/>
      <tableStyleElement type="secondRowStripe" dxfId="145"/>
    </tableStyle>
    <tableStyle name="Apr Workshop Allocations-style 4" pivot="0" count="3" xr9:uid="{00000000-0011-0000-FFFF-FFFF0C000000}">
      <tableStyleElement type="headerRow" dxfId="144"/>
      <tableStyleElement type="firstRowStripe" dxfId="143"/>
      <tableStyleElement type="secondRowStripe" dxfId="142"/>
    </tableStyle>
    <tableStyle name="Apr Workshop Allocations-style 5" pivot="0" count="3" xr9:uid="{00000000-0011-0000-FFFF-FFFF0D000000}">
      <tableStyleElement type="headerRow" dxfId="141"/>
      <tableStyleElement type="firstRowStripe" dxfId="140"/>
      <tableStyleElement type="secondRowStripe" dxfId="139"/>
    </tableStyle>
    <tableStyle name="Apr Workshop Allocations-style 6" pivot="0" count="3" xr9:uid="{00000000-0011-0000-FFFF-FFFF0E000000}">
      <tableStyleElement type="headerRow" dxfId="138"/>
      <tableStyleElement type="firstRowStripe" dxfId="137"/>
      <tableStyleElement type="secondRowStripe" dxfId="136"/>
    </tableStyle>
    <tableStyle name="Mar Workshop Allocations-style" pivot="0" count="3" xr9:uid="{00000000-0011-0000-FFFF-FFFF0F000000}">
      <tableStyleElement type="headerRow" dxfId="135"/>
      <tableStyleElement type="firstRowStripe" dxfId="134"/>
      <tableStyleElement type="secondRowStripe" dxfId="133"/>
    </tableStyle>
    <tableStyle name="Mar Workshop Allocations-style 2" pivot="0" count="3" xr9:uid="{00000000-0011-0000-FFFF-FFFF10000000}">
      <tableStyleElement type="headerRow" dxfId="132"/>
      <tableStyleElement type="firstRowStripe" dxfId="131"/>
      <tableStyleElement type="secondRowStripe" dxfId="130"/>
    </tableStyle>
    <tableStyle name="Mar Workshop Allocations-style 3" pivot="0" count="3" xr9:uid="{00000000-0011-0000-FFFF-FFFF11000000}">
      <tableStyleElement type="headerRow" dxfId="129"/>
      <tableStyleElement type="firstRowStripe" dxfId="128"/>
      <tableStyleElement type="secondRowStripe" dxfId="127"/>
    </tableStyle>
    <tableStyle name="Mar Workshop Allocations-style 4" pivot="0" count="3" xr9:uid="{00000000-0011-0000-FFFF-FFFF12000000}">
      <tableStyleElement type="headerRow" dxfId="126"/>
      <tableStyleElement type="firstRowStripe" dxfId="125"/>
      <tableStyleElement type="secondRowStripe" dxfId="124"/>
    </tableStyle>
    <tableStyle name="Mar Workshop Allocations-style 5" pivot="0" count="3" xr9:uid="{00000000-0011-0000-FFFF-FFFF13000000}">
      <tableStyleElement type="headerRow" dxfId="123"/>
      <tableStyleElement type="firstRowStripe" dxfId="122"/>
      <tableStyleElement type="secondRowStripe" dxfId="121"/>
    </tableStyle>
    <tableStyle name="Mar Workshop Allocations-style 6" pivot="0" count="3" xr9:uid="{00000000-0011-0000-FFFF-FFFF14000000}">
      <tableStyleElement type="headerRow" dxfId="120"/>
      <tableStyleElement type="firstRowStripe" dxfId="119"/>
      <tableStyleElement type="secondRowStripe" dxfId="118"/>
    </tableStyle>
    <tableStyle name="2025 Topics Covered-style" pivot="0" count="3" xr9:uid="{00000000-0011-0000-FFFF-FFFF15000000}">
      <tableStyleElement type="headerRow" dxfId="117"/>
      <tableStyleElement type="firstRowStripe" dxfId="116"/>
      <tableStyleElement type="secondRowStripe" dxfId="115"/>
    </tableStyle>
    <tableStyle name="2025 Topics Covered-style 2" pivot="0" count="3" xr9:uid="{00000000-0011-0000-FFFF-FFFF16000000}">
      <tableStyleElement type="headerRow" dxfId="114"/>
      <tableStyleElement type="firstRowStripe" dxfId="113"/>
      <tableStyleElement type="secondRowStripe" dxfId="112"/>
    </tableStyle>
    <tableStyle name="2025 Topics Covered-style 3" pivot="0" count="3" xr9:uid="{00000000-0011-0000-FFFF-FFFF17000000}">
      <tableStyleElement type="headerRow" dxfId="111"/>
      <tableStyleElement type="firstRowStripe" dxfId="110"/>
      <tableStyleElement type="secondRowStripe" dxfId="10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sts%20(Ignore)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tern%20Progres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s (Ignore)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ern Progress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2:AK70" totalsRowCount="1">
  <tableColumns count="36">
    <tableColumn id="1" xr3:uid="{00000000-0010-0000-0000-000001000000}" name="Intern Name" totalsRowDxfId="35"/>
    <tableColumn id="2" xr3:uid="{00000000-0010-0000-0000-000002000000}" name="Branch" totalsRowDxfId="34"/>
    <tableColumn id="3" xr3:uid="{00000000-0010-0000-0000-000003000000}" name="Region" totalsRowDxfId="33"/>
    <tableColumn id="4" xr3:uid="{00000000-0010-0000-0000-000004000000}" name="Pathway" totalsRowDxfId="32"/>
    <tableColumn id="5" xr3:uid="{00000000-0010-0000-0000-000005000000}" name="Colour" totalsRowDxfId="31"/>
    <tableColumn id="6" xr3:uid="{00000000-0010-0000-0000-000006000000}" name="1st Aid" totalsRowDxfId="30"/>
    <tableColumn id="7" xr3:uid="{00000000-0010-0000-0000-000007000000}" name="Vac" totalsRowDxfId="29"/>
    <tableColumn id="8" xr3:uid="{00000000-0010-0000-0000-000008000000}" name="Jan" totalsRowDxfId="28"/>
    <tableColumn id="9" xr3:uid="{00000000-0010-0000-0000-000009000000}" name="Feb" totalsRowDxfId="27"/>
    <tableColumn id="10" xr3:uid="{00000000-0010-0000-0000-00000A000000}" name="Mar" totalsRowDxfId="26"/>
    <tableColumn id="12" xr3:uid="{00000000-0010-0000-0000-00000C000000}" name="Apr" totalsRowDxfId="25"/>
    <tableColumn id="13" xr3:uid="{00000000-0010-0000-0000-00000D000000}" name="May" totalsRowDxfId="24"/>
    <tableColumn id="15" xr3:uid="{00000000-0010-0000-0000-00000F000000}" name="Jun" totalsRowDxfId="23"/>
    <tableColumn id="18" xr3:uid="{00000000-0010-0000-0000-000012000000}" name="Jul" totalsRowDxfId="22"/>
    <tableColumn id="19" xr3:uid="{00000000-0010-0000-0000-000013000000}" name="Aug" totalsRowDxfId="21"/>
    <tableColumn id="20" xr3:uid="{00000000-0010-0000-0000-000014000000}" name="Sep" totalsRowDxfId="20"/>
    <tableColumn id="14" xr3:uid="{33F2AB2D-0ECB-435D-B2F9-31524496F9F8}" name="     " dataDxfId="107" totalsRowDxfId="19"/>
    <tableColumn id="22" xr3:uid="{00000000-0010-0000-0000-000016000000}" name="Feb " totalsRowDxfId="18"/>
    <tableColumn id="23" xr3:uid="{00000000-0010-0000-0000-000017000000}" name="Mar " totalsRowDxfId="17"/>
    <tableColumn id="24" xr3:uid="{00000000-0010-0000-0000-000018000000}" name="Apr " totalsRowDxfId="16"/>
    <tableColumn id="25" xr3:uid="{00000000-0010-0000-0000-000019000000}" name="May." totalsRowDxfId="15"/>
    <tableColumn id="26" xr3:uid="{00000000-0010-0000-0000-00001A000000}" name="Jun " totalsRowDxfId="14"/>
    <tableColumn id="27" xr3:uid="{00000000-0010-0000-0000-00001B000000}" name="Jul " totalsRowDxfId="13"/>
    <tableColumn id="28" xr3:uid="{00000000-0010-0000-0000-00001C000000}" name="Aug " totalsRowDxfId="12"/>
    <tableColumn id="29" xr3:uid="{00000000-0010-0000-0000-00001D000000}" name="Sep " totalsRowDxfId="11"/>
    <tableColumn id="30" xr3:uid="{00000000-0010-0000-0000-00001E000000}" name="EOY" totalsRowDxfId="10"/>
    <tableColumn id="16" xr3:uid="{E5C3C5E5-90B1-43A0-A312-23A5581FDF41}" name="----" dataDxfId="36" totalsRowDxfId="9"/>
    <tableColumn id="31" xr3:uid="{00000000-0010-0000-0000-00001F000000}" name="Feb." totalsRowDxfId="8"/>
    <tableColumn id="32" xr3:uid="{00000000-0010-0000-0000-000020000000}" name="Mar." totalsRowDxfId="7"/>
    <tableColumn id="33" xr3:uid="{00000000-0010-0000-0000-000021000000}" name="Apr." totalsRowDxfId="6"/>
    <tableColumn id="34" xr3:uid="{00000000-0010-0000-0000-000022000000}" name="May. " dataDxfId="108" totalsRowDxfId="5"/>
    <tableColumn id="35" xr3:uid="{00000000-0010-0000-0000-000023000000}" name="Jun." totalsRowDxfId="4"/>
    <tableColumn id="36" xr3:uid="{00000000-0010-0000-0000-000024000000}" name="Jul." totalsRowDxfId="3"/>
    <tableColumn id="37" xr3:uid="{00000000-0010-0000-0000-000025000000}" name="Aug." totalsRowDxfId="2"/>
    <tableColumn id="38" xr3:uid="{00000000-0010-0000-0000-000026000000}" name="Sep." totalsRowDxfId="1"/>
    <tableColumn id="39" xr3:uid="{00000000-0010-0000-0000-000027000000}" name="Oct" totalsRowDxfId="0"/>
  </tableColumns>
  <tableStyleInfo name="2026 EOM and Score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2:L30" totalsRowCount="1">
  <tableColumns count="11">
    <tableColumn id="1" xr3:uid="{00000000-0010-0000-0100-000001000000}" name="Auckland" totalsRowLabel="Total"/>
    <tableColumn id="2" xr3:uid="{00000000-0010-0000-0100-000002000000}" name="Branch"/>
    <tableColumn id="3" xr3:uid="{00000000-0010-0000-0100-000003000000}" name="Mock" totalsRowFunction="custom">
      <totalsRowFormula>(COUNTIF('2025 EOM Declarations'!$D$3:$D$29,"Yes"))</totalsRowFormula>
    </tableColumn>
    <tableColumn id="4" xr3:uid="{00000000-0010-0000-0100-000004000000}" name="Feb" totalsRowFunction="custom">
      <totalsRowFormula>(COUNTIF('2025 EOM Declarations'!$E$3:$E$29,"Yes")/27)</totalsRowFormula>
    </tableColumn>
    <tableColumn id="5" xr3:uid="{00000000-0010-0000-0100-000005000000}" name="Mar" totalsRowFunction="custom">
      <totalsRowFormula>(COUNTIF('2025 EOM Declarations'!$F$3:$F$29,"Yes")/27)</totalsRowFormula>
    </tableColumn>
    <tableColumn id="6" xr3:uid="{00000000-0010-0000-0100-000006000000}" name="Apr" totalsRowFunction="custom">
      <totalsRowFormula>(COUNTIF('2025 EOM Declarations'!$G$3:$G$29,"Yes")/27)</totalsRowFormula>
    </tableColumn>
    <tableColumn id="7" xr3:uid="{00000000-0010-0000-0100-000007000000}" name="May" totalsRowFunction="custom">
      <totalsRowFormula>(COUNTIF('2025 EOM Declarations'!$H$3:$H$29,"Yes")/27)</totalsRowFormula>
    </tableColumn>
    <tableColumn id="8" xr3:uid="{00000000-0010-0000-0100-000008000000}" name="Jun" totalsRowFunction="custom">
      <totalsRowFormula>(COUNTIF('2025 EOM Declarations'!$I$3:$I$29,"Yes")/27)</totalsRowFormula>
    </tableColumn>
    <tableColumn id="9" xr3:uid="{00000000-0010-0000-0100-000009000000}" name="Jul" totalsRowFunction="custom">
      <totalsRowFormula>(COUNTIF('2025 EOM Declarations'!$J$3:$J$29,"Yes")/27)</totalsRowFormula>
    </tableColumn>
    <tableColumn id="10" xr3:uid="{00000000-0010-0000-0100-00000A000000}" name="Aug" totalsRowFunction="custom">
      <totalsRowFormula>(COUNTIF('2025 EOM Declarations'!$K$3:$K$29,"Yes")/27)</totalsRowFormula>
    </tableColumn>
    <tableColumn id="11" xr3:uid="{00000000-0010-0000-0100-00000B000000}" name="Sep" totalsRowFunction="custom">
      <totalsRowFormula>(COUNTIF('2025 EOM Declarations'!$L$3:$L$29,"Yes")/27)</totalsRowFormula>
    </tableColumn>
  </tableColumns>
  <tableStyleInfo name="2025 EOM Declarations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B34:L59" totalsRowCount="1">
  <tableColumns count="11">
    <tableColumn id="1" xr3:uid="{00000000-0010-0000-0200-000001000000}" name="Regional" totalsRowLabel="Total"/>
    <tableColumn id="2" xr3:uid="{00000000-0010-0000-0200-000002000000}" name="Branch"/>
    <tableColumn id="3" xr3:uid="{00000000-0010-0000-0200-000003000000}" name="Mock" totalsRowFunction="custom">
      <totalsRowFormula>(COUNTIF('2025 EOM Declarations'!$D$35:$D$58,"Yes"))</totalsRowFormula>
    </tableColumn>
    <tableColumn id="4" xr3:uid="{00000000-0010-0000-0200-000004000000}" name="Feb" totalsRowFunction="custom">
      <totalsRowFormula>(COUNTIF('2025 EOM Declarations'!$E$35:$E$58,"Yes")/24)</totalsRowFormula>
    </tableColumn>
    <tableColumn id="5" xr3:uid="{00000000-0010-0000-0200-000005000000}" name="Mar" totalsRowFunction="custom">
      <totalsRowFormula>(COUNTIF('2025 EOM Declarations'!$F$35:$F$58,"Yes")/24)</totalsRowFormula>
    </tableColumn>
    <tableColumn id="6" xr3:uid="{00000000-0010-0000-0200-000006000000}" name="Apr" totalsRowFunction="custom">
      <totalsRowFormula>(COUNTIF('2025 EOM Declarations'!$G$35:$G$58,"Yes")/24)</totalsRowFormula>
    </tableColumn>
    <tableColumn id="7" xr3:uid="{00000000-0010-0000-0200-000007000000}" name="May" totalsRowFunction="custom">
      <totalsRowFormula>(COUNTIF('2025 EOM Declarations'!$H$35:$H$58,"Yes")/24)</totalsRowFormula>
    </tableColumn>
    <tableColumn id="8" xr3:uid="{00000000-0010-0000-0200-000008000000}" name="Jun" totalsRowFunction="custom">
      <totalsRowFormula>(COUNTIF('2025 EOM Declarations'!$I$35:$I$58,"Yes")/24)</totalsRowFormula>
    </tableColumn>
    <tableColumn id="9" xr3:uid="{00000000-0010-0000-0200-000009000000}" name="Jul" totalsRowFunction="custom">
      <totalsRowFormula>(COUNTIF('2025 EOM Declarations'!$J$35:$J$58,"Yes")/24)</totalsRowFormula>
    </tableColumn>
    <tableColumn id="10" xr3:uid="{00000000-0010-0000-0200-00000A000000}" name="Aug" totalsRowFunction="custom">
      <totalsRowFormula>(COUNTIF('2025 EOM Declarations'!$K$35:$K$58,"Yes")/24)</totalsRowFormula>
    </tableColumn>
    <tableColumn id="11" xr3:uid="{00000000-0010-0000-0200-00000B000000}" name="Sep" totalsRowFunction="custom">
      <totalsRowFormula>(COUNTIF('2025 EOM Declarations'!$L$35:$L$58,"Yes")/24)</totalsRowFormula>
    </tableColumn>
  </tableColumns>
  <tableStyleInfo name="2025 EOM Declarations-style 2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B3:F12">
  <tableColumns count="5">
    <tableColumn id="1" xr3:uid="{00000000-0010-0000-0300-000001000000}" name="Condition / Medicine"/>
    <tableColumn id="2" xr3:uid="{00000000-0010-0000-0300-000002000000}" name="Intern 1"/>
    <tableColumn id="3" xr3:uid="{00000000-0010-0000-0300-000003000000}" name="Intern 2"/>
    <tableColumn id="4" xr3:uid="{00000000-0010-0000-0300-000004000000}" name="Intern 3"/>
    <tableColumn id="5" xr3:uid="{00000000-0010-0000-0300-000005000000}" name="Intern 4"/>
  </tableColumns>
  <tableStyleInfo name="May Workshop Allocations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H3:K12">
  <tableColumns count="4">
    <tableColumn id="1" xr3:uid="{00000000-0010-0000-0400-000001000000}" name="Condition / Medicine"/>
    <tableColumn id="2" xr3:uid="{00000000-0010-0000-0400-000002000000}" name="Intern 1"/>
    <tableColumn id="3" xr3:uid="{00000000-0010-0000-0400-000003000000}" name="Intern 2"/>
    <tableColumn id="4" xr3:uid="{00000000-0010-0000-0400-000004000000}" name="Intern 3"/>
  </tableColumns>
  <tableStyleInfo name="May Workshop Allocations-style 2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B15:F24">
  <tableColumns count="5">
    <tableColumn id="1" xr3:uid="{00000000-0010-0000-0500-000001000000}" name="Condition / Medicine"/>
    <tableColumn id="2" xr3:uid="{00000000-0010-0000-0500-000002000000}" name="Intern 1"/>
    <tableColumn id="3" xr3:uid="{00000000-0010-0000-0500-000003000000}" name="Intern 2"/>
    <tableColumn id="4" xr3:uid="{00000000-0010-0000-0500-000004000000}" name="Intern 3"/>
    <tableColumn id="5" xr3:uid="{00000000-0010-0000-0500-000005000000}" name="Intern 4"/>
  </tableColumns>
  <tableStyleInfo name="May Workshop Allocations-style 3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H15:K24">
  <tableColumns count="4">
    <tableColumn id="1" xr3:uid="{00000000-0010-0000-0600-000001000000}" name="Condition / Medicine"/>
    <tableColumn id="2" xr3:uid="{00000000-0010-0000-0600-000002000000}" name="Intern 1"/>
    <tableColumn id="3" xr3:uid="{00000000-0010-0000-0600-000003000000}" name="Intern 2"/>
    <tableColumn id="4" xr3:uid="{00000000-0010-0000-0600-000004000000}" name="Intern 3"/>
  </tableColumns>
  <tableStyleInfo name="May Workshop Allocations-style 4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B27:E36">
  <tableColumns count="4">
    <tableColumn id="1" xr3:uid="{00000000-0010-0000-0700-000001000000}" name="Condition / Medicine"/>
    <tableColumn id="2" xr3:uid="{00000000-0010-0000-0700-000002000000}" name="Intern 1"/>
    <tableColumn id="3" xr3:uid="{00000000-0010-0000-0700-000003000000}" name="Intern 2"/>
    <tableColumn id="4" xr3:uid="{00000000-0010-0000-0700-000004000000}" name="Intern 3"/>
  </tableColumns>
  <tableStyleInfo name="May Workshop Allocations-style 5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H27:K36">
  <tableColumns count="4">
    <tableColumn id="1" xr3:uid="{00000000-0010-0000-0800-000001000000}" name="Condition / Medicine"/>
    <tableColumn id="2" xr3:uid="{00000000-0010-0000-0800-000002000000}" name="Intern 1"/>
    <tableColumn id="3" xr3:uid="{00000000-0010-0000-0800-000003000000}" name="Intern 2"/>
    <tableColumn id="4" xr3:uid="{00000000-0010-0000-0800-000004000000}" name="Intern 3"/>
  </tableColumns>
  <tableStyleInfo name="May Workshop Allocations-style 6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10" displayName="Table_10" ref="B3:D9">
  <tableColumns count="3">
    <tableColumn id="1" xr3:uid="{00000000-0010-0000-0900-000001000000}" name="Condition"/>
    <tableColumn id="2" xr3:uid="{00000000-0010-0000-0900-000002000000}" name="Timeframe"/>
    <tableColumn id="3" xr3:uid="{00000000-0010-0000-0900-000003000000}" name="Presenter(s)"/>
  </tableColumns>
  <tableStyleInfo name="Apr Workshop Allocations-style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11" displayName="Table_11" ref="F3:H9">
  <tableColumns count="3">
    <tableColumn id="1" xr3:uid="{00000000-0010-0000-0A00-000001000000}" name="Condition"/>
    <tableColumn id="2" xr3:uid="{00000000-0010-0000-0A00-000002000000}" name="Timeframe"/>
    <tableColumn id="3" xr3:uid="{00000000-0010-0000-0A00-000003000000}" name="Study Group"/>
  </tableColumns>
  <tableStyleInfo name="Apr Workshop Allocations-style 2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12" displayName="Table_12" ref="B13:D19">
  <tableColumns count="3">
    <tableColumn id="1" xr3:uid="{00000000-0010-0000-0B00-000001000000}" name="Condition"/>
    <tableColumn id="2" xr3:uid="{00000000-0010-0000-0B00-000002000000}" name="Timeframe"/>
    <tableColumn id="3" xr3:uid="{00000000-0010-0000-0B00-000003000000}" name="Presenter(s)"/>
  </tableColumns>
  <tableStyleInfo name="Apr Workshop Allocations-style 3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_13" displayName="Table_13" ref="F13:H19">
  <tableColumns count="3">
    <tableColumn id="1" xr3:uid="{00000000-0010-0000-0C00-000001000000}" name="Condition"/>
    <tableColumn id="2" xr3:uid="{00000000-0010-0000-0C00-000002000000}" name="Timeframe"/>
    <tableColumn id="3" xr3:uid="{00000000-0010-0000-0C00-000003000000}" name="Presenter(s)"/>
  </tableColumns>
  <tableStyleInfo name="Apr Workshop Allocations-style 4" showFirstColumn="1" showLastColumn="1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_14" displayName="Table_14" ref="B23:D29">
  <tableColumns count="3">
    <tableColumn id="1" xr3:uid="{00000000-0010-0000-0D00-000001000000}" name="Condition"/>
    <tableColumn id="2" xr3:uid="{00000000-0010-0000-0D00-000002000000}" name="Timeframe"/>
    <tableColumn id="3" xr3:uid="{00000000-0010-0000-0D00-000003000000}" name="Presenter(s)"/>
  </tableColumns>
  <tableStyleInfo name="Apr Workshop Allocations-style 5" showFirstColumn="1" showLastColumn="1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_15" displayName="Table_15" ref="F23:H29">
  <tableColumns count="3">
    <tableColumn id="1" xr3:uid="{00000000-0010-0000-0E00-000001000000}" name="Condition"/>
    <tableColumn id="2" xr3:uid="{00000000-0010-0000-0E00-000002000000}" name="Timeframe"/>
    <tableColumn id="3" xr3:uid="{00000000-0010-0000-0E00-000003000000}" name="Presenter(s)"/>
  </tableColumns>
  <tableStyleInfo name="Apr Workshop Allocations-style 6" showFirstColumn="1" showLastColumn="1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_16" displayName="Table_16" ref="B3:D9">
  <tableColumns count="3">
    <tableColumn id="1" xr3:uid="{00000000-0010-0000-0F00-000001000000}" name="Condition"/>
    <tableColumn id="2" xr3:uid="{00000000-0010-0000-0F00-000002000000}" name="Timeframe"/>
    <tableColumn id="3" xr3:uid="{00000000-0010-0000-0F00-000003000000}" name="Presenter(s)"/>
  </tableColumns>
  <tableStyleInfo name="Mar Workshop Allocations-style" showFirstColumn="1" showLastColumn="1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able_17" displayName="Table_17" ref="F3:H8">
  <tableColumns count="3">
    <tableColumn id="1" xr3:uid="{00000000-0010-0000-1000-000001000000}" name="Condition"/>
    <tableColumn id="2" xr3:uid="{00000000-0010-0000-1000-000002000000}" name="Timeframe"/>
    <tableColumn id="3" xr3:uid="{00000000-0010-0000-1000-000003000000}" name="Study Group"/>
  </tableColumns>
  <tableStyleInfo name="Mar Workshop Allocations-style 2" showFirstColumn="1" showLastColumn="1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able_18" displayName="Table_18" ref="F12:H17">
  <tableColumns count="3">
    <tableColumn id="1" xr3:uid="{00000000-0010-0000-1100-000001000000}" name="Condition"/>
    <tableColumn id="2" xr3:uid="{00000000-0010-0000-1100-000002000000}" name="Timeframe"/>
    <tableColumn id="3" xr3:uid="{00000000-0010-0000-1100-000003000000}" name="Presenter(s)"/>
  </tableColumns>
  <tableStyleInfo name="Mar Workshop Allocations-style 3" showFirstColumn="1" showLastColumn="1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able_19" displayName="Table_19" ref="B13:D18">
  <tableColumns count="3">
    <tableColumn id="1" xr3:uid="{00000000-0010-0000-1200-000001000000}" name="Condition"/>
    <tableColumn id="2" xr3:uid="{00000000-0010-0000-1200-000002000000}" name="Timeframe"/>
    <tableColumn id="3" xr3:uid="{00000000-0010-0000-1200-000003000000}" name="Presenter(s)"/>
  </tableColumns>
  <tableStyleInfo name="Mar Workshop Allocations-style 4" showFirstColumn="1" showLastColumn="1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able_20" displayName="Table_20" ref="F20:H25">
  <tableColumns count="3">
    <tableColumn id="1" xr3:uid="{00000000-0010-0000-1300-000001000000}" name="Condition"/>
    <tableColumn id="2" xr3:uid="{00000000-0010-0000-1300-000002000000}" name="Timeframe"/>
    <tableColumn id="3" xr3:uid="{00000000-0010-0000-1300-000003000000}" name="Presenter(s)"/>
  </tableColumns>
  <tableStyleInfo name="Mar Workshop Allocations-style 5" showFirstColumn="1" showLastColumn="1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able_21" displayName="Table_21" ref="B21:D26">
  <tableColumns count="3">
    <tableColumn id="1" xr3:uid="{00000000-0010-0000-1400-000001000000}" name="Condition"/>
    <tableColumn id="2" xr3:uid="{00000000-0010-0000-1400-000002000000}" name="Timeframe"/>
    <tableColumn id="3" xr3:uid="{00000000-0010-0000-1400-000003000000}" name="Presenter(s)"/>
  </tableColumns>
  <tableStyleInfo name="Mar Workshop Allocations-style 6" showFirstColumn="1" showLastColumn="1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able_22" displayName="Table_22" ref="B3:E73">
  <tableColumns count="4">
    <tableColumn id="1" xr3:uid="{00000000-0010-0000-1500-000001000000}" name="Month"/>
    <tableColumn id="2" xr3:uid="{00000000-0010-0000-1500-000002000000}" name="Topic"/>
    <tableColumn id="3" xr3:uid="{00000000-0010-0000-1500-000003000000}" name="Covered in:"/>
    <tableColumn id="4" xr3:uid="{00000000-0010-0000-1500-000004000000}" name="Details"/>
  </tableColumns>
  <tableStyleInfo name="2025 Topics Covered-style" showFirstColumn="1" showLastColumn="1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Table_23" displayName="Table_23" ref="G3:J39">
  <tableColumns count="4">
    <tableColumn id="1" xr3:uid="{00000000-0010-0000-1600-000001000000}" name="Month"/>
    <tableColumn id="2" xr3:uid="{00000000-0010-0000-1600-000002000000}" name="Topic"/>
    <tableColumn id="3" xr3:uid="{00000000-0010-0000-1600-000003000000}" name="Covered in:"/>
    <tableColumn id="4" xr3:uid="{00000000-0010-0000-1600-000004000000}" name="Details:"/>
  </tableColumns>
  <tableStyleInfo name="2025 Topics Covered-style 2" showFirstColumn="1" showLastColumn="1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Table_24" displayName="Table_24" ref="L3:O56">
  <tableColumns count="4">
    <tableColumn id="1" xr3:uid="{00000000-0010-0000-1700-000001000000}" name="Month"/>
    <tableColumn id="2" xr3:uid="{00000000-0010-0000-1700-000002000000}" name="Topic"/>
    <tableColumn id="3" xr3:uid="{00000000-0010-0000-1700-000003000000}" name="Covered in:"/>
    <tableColumn id="4" xr3:uid="{00000000-0010-0000-1700-000004000000}" name="Details:"/>
  </tableColumns>
  <tableStyleInfo name="2025 Topics Covered-style 3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omments" Target="../comments2.xml"/><Relationship Id="rId3" Type="http://schemas.openxmlformats.org/officeDocument/2006/relationships/table" Target="../tables/table5.xml"/><Relationship Id="rId7" Type="http://schemas.openxmlformats.org/officeDocument/2006/relationships/table" Target="../tables/table9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2.vml"/><Relationship Id="rId6" Type="http://schemas.openxmlformats.org/officeDocument/2006/relationships/table" Target="../tables/table8.xml"/><Relationship Id="rId5" Type="http://schemas.openxmlformats.org/officeDocument/2006/relationships/table" Target="../tables/table7.xml"/><Relationship Id="rId4" Type="http://schemas.openxmlformats.org/officeDocument/2006/relationships/table" Target="../tables/table6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table" Target="../tables/table11.xml"/><Relationship Id="rId1" Type="http://schemas.openxmlformats.org/officeDocument/2006/relationships/table" Target="../tables/table10.xml"/><Relationship Id="rId6" Type="http://schemas.openxmlformats.org/officeDocument/2006/relationships/table" Target="../tables/table15.xml"/><Relationship Id="rId5" Type="http://schemas.openxmlformats.org/officeDocument/2006/relationships/table" Target="../tables/table14.xml"/><Relationship Id="rId4" Type="http://schemas.openxmlformats.org/officeDocument/2006/relationships/table" Target="../tables/table1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.xml"/><Relationship Id="rId2" Type="http://schemas.openxmlformats.org/officeDocument/2006/relationships/table" Target="../tables/table17.xml"/><Relationship Id="rId1" Type="http://schemas.openxmlformats.org/officeDocument/2006/relationships/table" Target="../tables/table16.xml"/><Relationship Id="rId6" Type="http://schemas.openxmlformats.org/officeDocument/2006/relationships/table" Target="../tables/table21.xml"/><Relationship Id="rId5" Type="http://schemas.openxmlformats.org/officeDocument/2006/relationships/table" Target="../tables/table20.xml"/><Relationship Id="rId4" Type="http://schemas.openxmlformats.org/officeDocument/2006/relationships/table" Target="../tables/table19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4.xml"/><Relationship Id="rId2" Type="http://schemas.openxmlformats.org/officeDocument/2006/relationships/table" Target="../tables/table23.xml"/><Relationship Id="rId1" Type="http://schemas.openxmlformats.org/officeDocument/2006/relationships/table" Target="../tables/table2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L1000"/>
  <sheetViews>
    <sheetView tabSelected="1" zoomScale="70" zoomScaleNormal="70" workbookViewId="0">
      <pane xSplit="2" ySplit="2" topLeftCell="C50" activePane="bottomRight" state="frozen"/>
      <selection pane="topRight" activeCell="C1" sqref="C1"/>
      <selection pane="bottomLeft" activeCell="A3" sqref="A3"/>
      <selection pane="bottomRight" activeCell="X48" sqref="X48"/>
    </sheetView>
  </sheetViews>
  <sheetFormatPr defaultColWidth="14.453125" defaultRowHeight="15" customHeight="1" x14ac:dyDescent="0.35"/>
  <cols>
    <col min="1" max="1" width="8.7265625" customWidth="1"/>
    <col min="2" max="2" width="27.453125" customWidth="1"/>
    <col min="3" max="3" width="18.81640625" hidden="1" customWidth="1"/>
    <col min="4" max="4" width="15.453125" hidden="1" customWidth="1"/>
    <col min="5" max="5" width="11.26953125" hidden="1" customWidth="1"/>
    <col min="6" max="8" width="8.54296875" hidden="1" customWidth="1"/>
    <col min="9" max="18" width="9.7265625" customWidth="1"/>
    <col min="19" max="28" width="11" customWidth="1"/>
    <col min="29" max="34" width="8.54296875" customWidth="1"/>
    <col min="35" max="38" width="8.7265625" customWidth="1"/>
  </cols>
  <sheetData>
    <row r="1" spans="2:38" ht="33.75" customHeight="1" x14ac:dyDescent="0.75">
      <c r="B1" s="1"/>
      <c r="D1" s="2"/>
      <c r="E1" s="2"/>
      <c r="F1" s="2"/>
      <c r="G1" s="2"/>
      <c r="I1" s="129" t="s">
        <v>698</v>
      </c>
      <c r="J1" s="130"/>
      <c r="K1" s="130"/>
      <c r="L1" s="130"/>
      <c r="M1" s="130"/>
      <c r="N1" s="130"/>
      <c r="O1" s="130"/>
      <c r="P1" s="130"/>
      <c r="Q1" s="130"/>
      <c r="R1" s="135"/>
      <c r="S1" s="132" t="s">
        <v>699</v>
      </c>
      <c r="T1" s="130"/>
      <c r="U1" s="130"/>
      <c r="V1" s="130"/>
      <c r="W1" s="130"/>
      <c r="X1" s="130"/>
      <c r="Y1" s="130"/>
      <c r="Z1" s="130"/>
      <c r="AA1" s="131"/>
      <c r="AB1" s="135"/>
      <c r="AC1" s="133" t="s">
        <v>700</v>
      </c>
      <c r="AD1" s="130"/>
      <c r="AE1" s="130"/>
      <c r="AF1" s="130"/>
      <c r="AG1" s="130"/>
      <c r="AH1" s="130"/>
      <c r="AI1" s="130"/>
      <c r="AJ1" s="130"/>
      <c r="AK1" s="131"/>
      <c r="AL1" s="3"/>
    </row>
    <row r="2" spans="2:38" ht="21" x14ac:dyDescent="0.5"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5" t="s">
        <v>7</v>
      </c>
      <c r="J2" s="5" t="s">
        <v>8</v>
      </c>
      <c r="K2" s="5" t="s">
        <v>9</v>
      </c>
      <c r="L2" s="5" t="s">
        <v>10</v>
      </c>
      <c r="M2" s="5" t="s">
        <v>11</v>
      </c>
      <c r="N2" s="5" t="s">
        <v>12</v>
      </c>
      <c r="O2" s="6" t="s">
        <v>13</v>
      </c>
      <c r="P2" s="6" t="s">
        <v>14</v>
      </c>
      <c r="Q2" s="5" t="s">
        <v>15</v>
      </c>
      <c r="R2" s="5" t="s">
        <v>696</v>
      </c>
      <c r="S2" s="7" t="s">
        <v>680</v>
      </c>
      <c r="T2" s="7" t="s">
        <v>681</v>
      </c>
      <c r="U2" s="7" t="s">
        <v>682</v>
      </c>
      <c r="V2" s="7" t="s">
        <v>685</v>
      </c>
      <c r="W2" s="7" t="s">
        <v>683</v>
      </c>
      <c r="X2" s="7" t="s">
        <v>684</v>
      </c>
      <c r="Y2" s="7" t="s">
        <v>686</v>
      </c>
      <c r="Z2" s="7" t="s">
        <v>687</v>
      </c>
      <c r="AA2" s="7" t="s">
        <v>16</v>
      </c>
      <c r="AB2" s="136" t="s">
        <v>697</v>
      </c>
      <c r="AC2" s="8" t="s">
        <v>688</v>
      </c>
      <c r="AD2" s="134" t="s">
        <v>689</v>
      </c>
      <c r="AE2" s="8" t="s">
        <v>690</v>
      </c>
      <c r="AF2" s="8" t="s">
        <v>692</v>
      </c>
      <c r="AG2" s="134" t="s">
        <v>691</v>
      </c>
      <c r="AH2" s="8" t="s">
        <v>693</v>
      </c>
      <c r="AI2" s="8" t="s">
        <v>694</v>
      </c>
      <c r="AJ2" s="8" t="s">
        <v>695</v>
      </c>
      <c r="AK2" s="8" t="s">
        <v>17</v>
      </c>
    </row>
    <row r="3" spans="2:38" ht="14.5" x14ac:dyDescent="0.35">
      <c r="B3" s="9" t="s">
        <v>18</v>
      </c>
      <c r="C3" s="9" t="s">
        <v>19</v>
      </c>
      <c r="D3" s="10" t="e">
        <f>VLOOKUP('2026 EOM and Scores'!$C3,'[1]Lists (Ignore)'!$N:$O,2,FALSE)</f>
        <v>#N/A</v>
      </c>
      <c r="E3" s="10" t="s">
        <v>20</v>
      </c>
      <c r="F3" s="11" t="s">
        <v>679</v>
      </c>
      <c r="G3" s="2" t="s">
        <v>21</v>
      </c>
      <c r="H3" s="2" t="s">
        <v>22</v>
      </c>
      <c r="I3" s="2" t="s">
        <v>23</v>
      </c>
      <c r="J3" s="2" t="s">
        <v>23</v>
      </c>
      <c r="K3" s="2">
        <v>11</v>
      </c>
      <c r="L3" s="2">
        <v>12</v>
      </c>
      <c r="M3" s="2" t="s">
        <v>24</v>
      </c>
      <c r="N3" s="2" t="s">
        <v>24</v>
      </c>
      <c r="O3" s="2" t="s">
        <v>24</v>
      </c>
      <c r="P3" s="2" t="s">
        <v>24</v>
      </c>
      <c r="Q3" s="2" t="s">
        <v>24</v>
      </c>
      <c r="R3" s="2"/>
      <c r="S3" s="2" t="s">
        <v>23</v>
      </c>
      <c r="T3" s="2">
        <v>14</v>
      </c>
      <c r="U3" s="2">
        <v>14</v>
      </c>
      <c r="V3" s="2"/>
      <c r="W3" s="2"/>
      <c r="X3" s="2"/>
      <c r="Y3" s="2"/>
      <c r="Z3" s="2"/>
      <c r="AA3" s="2"/>
      <c r="AB3" s="2"/>
      <c r="AC3" s="2" t="s">
        <v>25</v>
      </c>
      <c r="AD3" s="2" t="s">
        <v>25</v>
      </c>
      <c r="AE3" s="2"/>
      <c r="AF3" s="2"/>
      <c r="AG3" s="2"/>
      <c r="AH3" s="2"/>
      <c r="AI3" s="2"/>
      <c r="AJ3" s="2"/>
      <c r="AK3" s="2"/>
    </row>
    <row r="4" spans="2:38" ht="14.5" x14ac:dyDescent="0.35">
      <c r="B4" s="9" t="s">
        <v>26</v>
      </c>
      <c r="C4" s="9" t="s">
        <v>27</v>
      </c>
      <c r="D4" s="10" t="e">
        <f>VLOOKUP('2026 EOM and Scores'!$C4,'[1]Lists (Ignore)'!$N:$O,2,FALSE)</f>
        <v>#N/A</v>
      </c>
      <c r="E4" s="10" t="s">
        <v>20</v>
      </c>
      <c r="F4" s="11" t="s">
        <v>679</v>
      </c>
      <c r="G4" s="2"/>
      <c r="H4" s="2"/>
      <c r="I4" s="2" t="s">
        <v>23</v>
      </c>
      <c r="J4" s="2" t="s">
        <v>23</v>
      </c>
      <c r="K4" s="2">
        <v>7</v>
      </c>
      <c r="L4" s="2" t="s">
        <v>24</v>
      </c>
      <c r="M4" s="2" t="s">
        <v>24</v>
      </c>
      <c r="N4" s="2" t="s">
        <v>24</v>
      </c>
      <c r="O4" s="2" t="s">
        <v>24</v>
      </c>
      <c r="P4" s="2" t="s">
        <v>24</v>
      </c>
      <c r="Q4" s="2" t="s">
        <v>24</v>
      </c>
      <c r="R4" s="2"/>
      <c r="S4" s="2" t="s">
        <v>23</v>
      </c>
      <c r="T4" s="2">
        <v>8</v>
      </c>
      <c r="U4" s="2"/>
      <c r="V4" s="2"/>
      <c r="W4" s="2"/>
      <c r="X4" s="2"/>
      <c r="Y4" s="2"/>
      <c r="Z4" s="2"/>
      <c r="AA4" s="2"/>
      <c r="AB4" s="2"/>
      <c r="AC4" s="2" t="s">
        <v>28</v>
      </c>
      <c r="AD4" s="2" t="s">
        <v>29</v>
      </c>
      <c r="AE4" s="2"/>
      <c r="AF4" s="2"/>
      <c r="AG4" s="2"/>
      <c r="AH4" s="2"/>
      <c r="AI4" s="2"/>
      <c r="AJ4" s="2"/>
      <c r="AK4" s="2"/>
    </row>
    <row r="5" spans="2:38" ht="14.5" x14ac:dyDescent="0.35">
      <c r="B5" s="9" t="s">
        <v>30</v>
      </c>
      <c r="C5" s="9" t="s">
        <v>31</v>
      </c>
      <c r="D5" s="10" t="e">
        <f>VLOOKUP('2026 EOM and Scores'!$C5,'[1]Lists (Ignore)'!$N:$O,2,FALSE)</f>
        <v>#N/A</v>
      </c>
      <c r="E5" s="10" t="s">
        <v>20</v>
      </c>
      <c r="F5" s="11" t="s">
        <v>679</v>
      </c>
      <c r="G5" s="2" t="s">
        <v>32</v>
      </c>
      <c r="H5" s="2" t="s">
        <v>22</v>
      </c>
      <c r="I5" s="2">
        <v>11</v>
      </c>
      <c r="J5" s="2">
        <v>11</v>
      </c>
      <c r="K5" s="2">
        <v>12</v>
      </c>
      <c r="L5" s="2" t="s">
        <v>24</v>
      </c>
      <c r="M5" s="2" t="s">
        <v>24</v>
      </c>
      <c r="N5" s="2" t="s">
        <v>24</v>
      </c>
      <c r="O5" s="2" t="s">
        <v>24</v>
      </c>
      <c r="P5" s="2" t="s">
        <v>24</v>
      </c>
      <c r="Q5" s="2" t="s">
        <v>24</v>
      </c>
      <c r="R5" s="2"/>
      <c r="S5" s="2">
        <v>25</v>
      </c>
      <c r="T5" s="2">
        <v>13</v>
      </c>
      <c r="U5" s="2"/>
      <c r="V5" s="2"/>
      <c r="W5" s="2"/>
      <c r="X5" s="2"/>
      <c r="Y5" s="2"/>
      <c r="Z5" s="2"/>
      <c r="AA5" s="2"/>
      <c r="AB5" s="2"/>
      <c r="AC5" s="2" t="s">
        <v>28</v>
      </c>
      <c r="AD5" s="2" t="s">
        <v>29</v>
      </c>
      <c r="AE5" s="2"/>
      <c r="AF5" s="2"/>
      <c r="AG5" s="2"/>
      <c r="AH5" s="2"/>
      <c r="AI5" s="2"/>
      <c r="AJ5" s="2"/>
      <c r="AK5" s="2"/>
    </row>
    <row r="6" spans="2:38" ht="14.5" x14ac:dyDescent="0.35">
      <c r="B6" s="9" t="s">
        <v>33</v>
      </c>
      <c r="C6" s="9" t="s">
        <v>34</v>
      </c>
      <c r="D6" s="10" t="e">
        <f>VLOOKUP('2026 EOM and Scores'!$C6,'[1]Lists (Ignore)'!$N:$O,2,FALSE)</f>
        <v>#N/A</v>
      </c>
      <c r="E6" s="10" t="s">
        <v>20</v>
      </c>
      <c r="F6" s="11" t="s">
        <v>679</v>
      </c>
      <c r="G6" s="2" t="s">
        <v>32</v>
      </c>
      <c r="H6" s="2" t="s">
        <v>22</v>
      </c>
      <c r="I6" s="2" t="s">
        <v>23</v>
      </c>
      <c r="J6" s="2">
        <v>12</v>
      </c>
      <c r="K6" s="2" t="s">
        <v>23</v>
      </c>
      <c r="L6" s="2"/>
      <c r="M6" s="2"/>
      <c r="N6" s="2"/>
      <c r="O6" s="2"/>
      <c r="P6" s="2"/>
      <c r="Q6" s="2"/>
      <c r="R6" s="2"/>
      <c r="S6" s="2">
        <v>25</v>
      </c>
      <c r="T6" s="2">
        <v>14</v>
      </c>
      <c r="U6" s="2"/>
      <c r="V6" s="2"/>
      <c r="W6" s="2"/>
      <c r="X6" s="2"/>
      <c r="Y6" s="2"/>
      <c r="Z6" s="2"/>
      <c r="AA6" s="2"/>
      <c r="AB6" s="2"/>
      <c r="AC6" s="2" t="s">
        <v>28</v>
      </c>
      <c r="AD6" s="2" t="s">
        <v>28</v>
      </c>
      <c r="AE6" s="2"/>
      <c r="AF6" s="2"/>
      <c r="AG6" s="2"/>
      <c r="AH6" s="2"/>
      <c r="AI6" s="2"/>
      <c r="AJ6" s="2"/>
      <c r="AK6" s="2"/>
    </row>
    <row r="7" spans="2:38" ht="14.5" x14ac:dyDescent="0.35">
      <c r="B7" s="9" t="s">
        <v>35</v>
      </c>
      <c r="C7" s="9" t="s">
        <v>36</v>
      </c>
      <c r="D7" s="10" t="e">
        <f>VLOOKUP('2026 EOM and Scores'!$C7,'[1]Lists (Ignore)'!$N:$O,2,FALSE)</f>
        <v>#N/A</v>
      </c>
      <c r="E7" s="10" t="s">
        <v>20</v>
      </c>
      <c r="F7" s="11" t="s">
        <v>679</v>
      </c>
      <c r="G7" s="2" t="s">
        <v>21</v>
      </c>
      <c r="H7" s="2" t="s">
        <v>22</v>
      </c>
      <c r="I7" s="2">
        <v>9</v>
      </c>
      <c r="J7" s="2" t="s">
        <v>23</v>
      </c>
      <c r="K7" s="2" t="s">
        <v>23</v>
      </c>
      <c r="L7" s="2"/>
      <c r="M7" s="2"/>
      <c r="N7" s="2"/>
      <c r="O7" s="2"/>
      <c r="P7" s="2"/>
      <c r="Q7" s="2"/>
      <c r="R7" s="2"/>
      <c r="S7" s="2" t="s">
        <v>23</v>
      </c>
      <c r="T7" s="2" t="s">
        <v>23</v>
      </c>
      <c r="U7" s="2"/>
      <c r="V7" s="2"/>
      <c r="W7" s="2"/>
      <c r="X7" s="2"/>
      <c r="Y7" s="2"/>
      <c r="Z7" s="2"/>
      <c r="AA7" s="2"/>
      <c r="AB7" s="2"/>
      <c r="AC7" s="2" t="s">
        <v>25</v>
      </c>
      <c r="AD7" s="2" t="s">
        <v>25</v>
      </c>
      <c r="AE7" s="2"/>
      <c r="AF7" s="2"/>
      <c r="AG7" s="2"/>
      <c r="AH7" s="2"/>
      <c r="AI7" s="2"/>
      <c r="AJ7" s="2"/>
      <c r="AK7" s="2"/>
    </row>
    <row r="8" spans="2:38" ht="14.5" x14ac:dyDescent="0.35">
      <c r="B8" s="9" t="s">
        <v>37</v>
      </c>
      <c r="C8" s="9" t="s">
        <v>38</v>
      </c>
      <c r="D8" s="10" t="e">
        <f>VLOOKUP('2026 EOM and Scores'!$C8,'[1]Lists (Ignore)'!$N:$O,2,FALSE)</f>
        <v>#N/A</v>
      </c>
      <c r="E8" s="10" t="s">
        <v>20</v>
      </c>
      <c r="F8" s="11" t="s">
        <v>679</v>
      </c>
      <c r="G8" s="2" t="s">
        <v>32</v>
      </c>
      <c r="H8" s="2" t="s">
        <v>22</v>
      </c>
      <c r="I8" s="2">
        <v>8</v>
      </c>
      <c r="J8" s="2">
        <v>9</v>
      </c>
      <c r="K8" s="2" t="s">
        <v>23</v>
      </c>
      <c r="L8" s="2"/>
      <c r="M8" s="2"/>
      <c r="N8" s="2"/>
      <c r="O8" s="2"/>
      <c r="P8" s="2"/>
      <c r="Q8" s="2"/>
      <c r="R8" s="2"/>
      <c r="S8" s="2">
        <v>25</v>
      </c>
      <c r="T8" s="2" t="s">
        <v>23</v>
      </c>
      <c r="U8" s="2"/>
      <c r="V8" s="2"/>
      <c r="W8" s="2"/>
      <c r="X8" s="2"/>
      <c r="Y8" s="2"/>
      <c r="Z8" s="2"/>
      <c r="AA8" s="2"/>
      <c r="AB8" s="2"/>
      <c r="AC8" s="2" t="s">
        <v>28</v>
      </c>
      <c r="AD8" s="2" t="s">
        <v>28</v>
      </c>
      <c r="AE8" s="2"/>
      <c r="AF8" s="2"/>
      <c r="AG8" s="2"/>
      <c r="AH8" s="2"/>
      <c r="AI8" s="2"/>
      <c r="AJ8" s="2"/>
      <c r="AK8" s="2"/>
    </row>
    <row r="9" spans="2:38" ht="14.5" x14ac:dyDescent="0.35">
      <c r="B9" s="9" t="s">
        <v>39</v>
      </c>
      <c r="C9" s="9" t="s">
        <v>40</v>
      </c>
      <c r="D9" s="10" t="e">
        <f>VLOOKUP('2026 EOM and Scores'!$C9,'[1]Lists (Ignore)'!$N:$O,2,FALSE)</f>
        <v>#N/A</v>
      </c>
      <c r="E9" s="10" t="s">
        <v>41</v>
      </c>
      <c r="F9" s="11" t="s">
        <v>679</v>
      </c>
      <c r="G9" s="2" t="s">
        <v>21</v>
      </c>
      <c r="H9" s="2" t="s">
        <v>22</v>
      </c>
      <c r="I9" s="2">
        <v>10</v>
      </c>
      <c r="J9" s="2" t="s">
        <v>23</v>
      </c>
      <c r="K9" s="2" t="s">
        <v>23</v>
      </c>
      <c r="L9" s="2" t="s">
        <v>24</v>
      </c>
      <c r="M9" s="2" t="s">
        <v>24</v>
      </c>
      <c r="N9" s="2" t="s">
        <v>24</v>
      </c>
      <c r="O9" s="2" t="s">
        <v>24</v>
      </c>
      <c r="P9" s="2" t="s">
        <v>24</v>
      </c>
      <c r="Q9" s="2" t="s">
        <v>24</v>
      </c>
      <c r="R9" s="2"/>
      <c r="S9" s="2" t="s">
        <v>23</v>
      </c>
      <c r="T9" s="2" t="s">
        <v>23</v>
      </c>
      <c r="U9" s="2"/>
      <c r="V9" s="2"/>
      <c r="W9" s="2"/>
      <c r="X9" s="2"/>
      <c r="Y9" s="2"/>
      <c r="Z9" s="2"/>
      <c r="AA9" s="2"/>
      <c r="AB9" s="2"/>
      <c r="AC9" s="2" t="s">
        <v>29</v>
      </c>
      <c r="AD9" s="2" t="s">
        <v>25</v>
      </c>
      <c r="AE9" s="2"/>
      <c r="AF9" s="2"/>
      <c r="AG9" s="2"/>
      <c r="AH9" s="2"/>
      <c r="AI9" s="2"/>
      <c r="AJ9" s="2"/>
      <c r="AK9" s="2"/>
    </row>
    <row r="10" spans="2:38" ht="14.5" x14ac:dyDescent="0.35">
      <c r="B10" s="9" t="s">
        <v>42</v>
      </c>
      <c r="C10" s="9" t="s">
        <v>36</v>
      </c>
      <c r="D10" s="10" t="e">
        <f>VLOOKUP('2026 EOM and Scores'!$C10,'[1]Lists (Ignore)'!$N:$O,2,FALSE)</f>
        <v>#N/A</v>
      </c>
      <c r="E10" s="10" t="s">
        <v>20</v>
      </c>
      <c r="F10" s="11" t="s">
        <v>679</v>
      </c>
      <c r="G10" s="2" t="s">
        <v>21</v>
      </c>
      <c r="H10" s="2" t="s">
        <v>22</v>
      </c>
      <c r="I10" s="2">
        <v>9</v>
      </c>
      <c r="J10" s="2" t="s">
        <v>23</v>
      </c>
      <c r="K10" s="2" t="s">
        <v>23</v>
      </c>
      <c r="L10" s="2"/>
      <c r="M10" s="2"/>
      <c r="N10" s="2"/>
      <c r="O10" s="2"/>
      <c r="P10" s="2"/>
      <c r="Q10" s="2"/>
      <c r="R10" s="2"/>
      <c r="S10" s="2" t="s">
        <v>23</v>
      </c>
      <c r="T10" s="2" t="s">
        <v>23</v>
      </c>
      <c r="U10" s="2"/>
      <c r="V10" s="2"/>
      <c r="W10" s="2"/>
      <c r="X10" s="2"/>
      <c r="Y10" s="2"/>
      <c r="Z10" s="2"/>
      <c r="AA10" s="2"/>
      <c r="AB10" s="2"/>
      <c r="AC10" s="2" t="s">
        <v>25</v>
      </c>
      <c r="AD10" s="2" t="s">
        <v>25</v>
      </c>
      <c r="AE10" s="2"/>
      <c r="AF10" s="2"/>
      <c r="AG10" s="2"/>
      <c r="AH10" s="2"/>
      <c r="AI10" s="2"/>
      <c r="AJ10" s="2"/>
      <c r="AK10" s="2"/>
    </row>
    <row r="11" spans="2:38" ht="14.5" x14ac:dyDescent="0.35">
      <c r="B11" s="9" t="s">
        <v>43</v>
      </c>
      <c r="C11" s="9" t="s">
        <v>44</v>
      </c>
      <c r="D11" s="10" t="e">
        <f>VLOOKUP('2026 EOM and Scores'!$C11,'[1]Lists (Ignore)'!$N:$O,2,FALSE)</f>
        <v>#N/A</v>
      </c>
      <c r="E11" s="10" t="s">
        <v>20</v>
      </c>
      <c r="F11" s="11" t="s">
        <v>679</v>
      </c>
      <c r="G11" s="2" t="s">
        <v>22</v>
      </c>
      <c r="H11" s="2" t="s">
        <v>32</v>
      </c>
      <c r="I11" s="2">
        <v>6</v>
      </c>
      <c r="J11" s="2">
        <v>11</v>
      </c>
      <c r="K11" s="2">
        <v>12</v>
      </c>
      <c r="L11" s="2"/>
      <c r="M11" s="2"/>
      <c r="N11" s="2"/>
      <c r="O11" s="2"/>
      <c r="P11" s="2"/>
      <c r="Q11" s="2"/>
      <c r="R11" s="2"/>
      <c r="S11" s="2">
        <v>10</v>
      </c>
      <c r="T11" s="2">
        <v>7</v>
      </c>
      <c r="U11" s="2"/>
      <c r="V11" s="2"/>
      <c r="W11" s="2"/>
      <c r="X11" s="2"/>
      <c r="Y11" s="2"/>
      <c r="Z11" s="2"/>
      <c r="AA11" s="2"/>
      <c r="AB11" s="2"/>
      <c r="AC11" s="2" t="s">
        <v>25</v>
      </c>
      <c r="AD11" s="2" t="s">
        <v>25</v>
      </c>
      <c r="AE11" s="2"/>
      <c r="AF11" s="2"/>
      <c r="AG11" s="2"/>
      <c r="AH11" s="2"/>
      <c r="AI11" s="2"/>
      <c r="AJ11" s="2"/>
      <c r="AK11" s="2"/>
    </row>
    <row r="12" spans="2:38" ht="14.5" x14ac:dyDescent="0.35">
      <c r="B12" s="9" t="s">
        <v>45</v>
      </c>
      <c r="C12" s="9" t="s">
        <v>46</v>
      </c>
      <c r="D12" s="10" t="e">
        <f>VLOOKUP('2026 EOM and Scores'!$C12,'[1]Lists (Ignore)'!$N:$O,2,FALSE)</f>
        <v>#N/A</v>
      </c>
      <c r="E12" s="10" t="s">
        <v>47</v>
      </c>
      <c r="F12" s="11" t="s">
        <v>679</v>
      </c>
      <c r="G12" s="2" t="s">
        <v>32</v>
      </c>
      <c r="H12" s="2" t="s">
        <v>22</v>
      </c>
      <c r="I12" s="2">
        <v>7</v>
      </c>
      <c r="J12" s="2">
        <v>7</v>
      </c>
      <c r="K12" s="2">
        <v>7</v>
      </c>
      <c r="L12" s="2"/>
      <c r="M12" s="2"/>
      <c r="N12" s="2"/>
      <c r="O12" s="2"/>
      <c r="P12" s="2"/>
      <c r="Q12" s="2"/>
      <c r="R12" s="2"/>
      <c r="S12" s="2">
        <v>24</v>
      </c>
      <c r="T12" s="2">
        <v>13</v>
      </c>
      <c r="U12" s="2"/>
      <c r="V12" s="2"/>
      <c r="W12" s="2"/>
      <c r="X12" s="2"/>
      <c r="Y12" s="2"/>
      <c r="Z12" s="2"/>
      <c r="AA12" s="2"/>
      <c r="AB12" s="2"/>
      <c r="AC12" s="2" t="s">
        <v>48</v>
      </c>
      <c r="AD12" s="2" t="s">
        <v>48</v>
      </c>
      <c r="AE12" s="2"/>
      <c r="AF12" s="2"/>
      <c r="AG12" s="2"/>
      <c r="AH12" s="2"/>
      <c r="AI12" s="2"/>
      <c r="AJ12" s="2"/>
      <c r="AK12" s="2"/>
    </row>
    <row r="13" spans="2:38" ht="14.5" x14ac:dyDescent="0.35">
      <c r="B13" s="9" t="s">
        <v>49</v>
      </c>
      <c r="C13" s="9" t="s">
        <v>50</v>
      </c>
      <c r="D13" s="10" t="e">
        <f>VLOOKUP('2026 EOM and Scores'!$C13,'[1]Lists (Ignore)'!$N:$O,2,FALSE)</f>
        <v>#N/A</v>
      </c>
      <c r="E13" s="10" t="s">
        <v>20</v>
      </c>
      <c r="F13" s="11" t="s">
        <v>679</v>
      </c>
      <c r="G13" s="2" t="s">
        <v>32</v>
      </c>
      <c r="H13" s="2" t="s">
        <v>32</v>
      </c>
      <c r="I13" s="2" t="s">
        <v>23</v>
      </c>
      <c r="J13" s="2">
        <v>8</v>
      </c>
      <c r="K13" s="2">
        <v>8</v>
      </c>
      <c r="L13" s="2"/>
      <c r="M13" s="2"/>
      <c r="N13" s="2"/>
      <c r="O13" s="2"/>
      <c r="P13" s="2"/>
      <c r="Q13" s="2"/>
      <c r="R13" s="2"/>
      <c r="S13" s="2">
        <v>17</v>
      </c>
      <c r="T13" s="2">
        <v>8</v>
      </c>
      <c r="U13" s="2"/>
      <c r="V13" s="2"/>
      <c r="W13" s="2"/>
      <c r="X13" s="2"/>
      <c r="Y13" s="2"/>
      <c r="Z13" s="2"/>
      <c r="AA13" s="2"/>
      <c r="AB13" s="2"/>
      <c r="AC13" s="2" t="s">
        <v>28</v>
      </c>
      <c r="AD13" s="2" t="s">
        <v>28</v>
      </c>
      <c r="AE13" s="2"/>
      <c r="AF13" s="2"/>
      <c r="AG13" s="2"/>
      <c r="AH13" s="2"/>
      <c r="AI13" s="2"/>
      <c r="AJ13" s="2"/>
      <c r="AK13" s="2"/>
    </row>
    <row r="14" spans="2:38" ht="14.5" x14ac:dyDescent="0.35">
      <c r="B14" s="9" t="s">
        <v>51</v>
      </c>
      <c r="C14" s="9" t="s">
        <v>52</v>
      </c>
      <c r="D14" s="10" t="e">
        <f>VLOOKUP('2026 EOM and Scores'!$C14,'[1]Lists (Ignore)'!$N:$O,2,FALSE)</f>
        <v>#N/A</v>
      </c>
      <c r="E14" s="10" t="s">
        <v>41</v>
      </c>
      <c r="F14" s="11" t="s">
        <v>679</v>
      </c>
      <c r="G14" s="2"/>
      <c r="H14" s="2"/>
      <c r="I14" s="2" t="s">
        <v>23</v>
      </c>
      <c r="J14" s="2">
        <v>9</v>
      </c>
      <c r="K14" s="2" t="s">
        <v>23</v>
      </c>
      <c r="L14" s="2" t="s">
        <v>24</v>
      </c>
      <c r="M14" s="2" t="s">
        <v>24</v>
      </c>
      <c r="N14" s="2" t="s">
        <v>24</v>
      </c>
      <c r="O14" s="2" t="s">
        <v>24</v>
      </c>
      <c r="P14" s="2" t="s">
        <v>24</v>
      </c>
      <c r="Q14" s="2" t="s">
        <v>24</v>
      </c>
      <c r="R14" s="2"/>
      <c r="S14" s="2">
        <v>18</v>
      </c>
      <c r="T14" s="2" t="s">
        <v>23</v>
      </c>
      <c r="U14" s="2"/>
      <c r="V14" s="2"/>
      <c r="W14" s="2"/>
      <c r="X14" s="2"/>
      <c r="Y14" s="2"/>
      <c r="Z14" s="2"/>
      <c r="AA14" s="2"/>
      <c r="AB14" s="2"/>
      <c r="AC14" s="2" t="s">
        <v>48</v>
      </c>
      <c r="AD14" s="2" t="s">
        <v>48</v>
      </c>
      <c r="AE14" s="2"/>
      <c r="AF14" s="2"/>
      <c r="AG14" s="2"/>
      <c r="AH14" s="2"/>
      <c r="AI14" s="2"/>
      <c r="AJ14" s="2"/>
      <c r="AK14" s="2"/>
    </row>
    <row r="15" spans="2:38" ht="14.5" x14ac:dyDescent="0.35">
      <c r="B15" s="9" t="s">
        <v>53</v>
      </c>
      <c r="C15" s="9" t="s">
        <v>52</v>
      </c>
      <c r="D15" s="10" t="e">
        <f>VLOOKUP('2026 EOM and Scores'!$C15,'[1]Lists (Ignore)'!$N:$O,2,FALSE)</f>
        <v>#N/A</v>
      </c>
      <c r="E15" s="10" t="s">
        <v>41</v>
      </c>
      <c r="F15" s="11" t="s">
        <v>679</v>
      </c>
      <c r="G15" s="2"/>
      <c r="H15" s="2"/>
      <c r="I15" s="2" t="s">
        <v>23</v>
      </c>
      <c r="J15" s="2" t="s">
        <v>23</v>
      </c>
      <c r="K15" s="2" t="s">
        <v>23</v>
      </c>
      <c r="L15" s="2" t="s">
        <v>24</v>
      </c>
      <c r="M15" s="2" t="s">
        <v>24</v>
      </c>
      <c r="N15" s="2" t="s">
        <v>24</v>
      </c>
      <c r="O15" s="2" t="s">
        <v>24</v>
      </c>
      <c r="P15" s="2" t="s">
        <v>24</v>
      </c>
      <c r="Q15" s="2" t="s">
        <v>24</v>
      </c>
      <c r="R15" s="2"/>
      <c r="S15" s="2" t="s">
        <v>23</v>
      </c>
      <c r="T15" s="2" t="s">
        <v>23</v>
      </c>
      <c r="U15" s="2"/>
      <c r="V15" s="2"/>
      <c r="W15" s="2"/>
      <c r="X15" s="2"/>
      <c r="Y15" s="2"/>
      <c r="Z15" s="2"/>
      <c r="AA15" s="2"/>
      <c r="AB15" s="2"/>
      <c r="AC15" s="2" t="s">
        <v>48</v>
      </c>
      <c r="AD15" s="2" t="s">
        <v>48</v>
      </c>
      <c r="AE15" s="2"/>
      <c r="AF15" s="2"/>
      <c r="AG15" s="2"/>
      <c r="AH15" s="2"/>
      <c r="AI15" s="2"/>
      <c r="AJ15" s="2"/>
      <c r="AK15" s="2"/>
    </row>
    <row r="16" spans="2:38" ht="14.5" x14ac:dyDescent="0.35">
      <c r="B16" s="9" t="s">
        <v>54</v>
      </c>
      <c r="C16" s="9" t="s">
        <v>55</v>
      </c>
      <c r="D16" s="10" t="e">
        <f>VLOOKUP('2026 EOM and Scores'!$C16,'[1]Lists (Ignore)'!$N:$O,2,FALSE)</f>
        <v>#N/A</v>
      </c>
      <c r="E16" s="10" t="s">
        <v>20</v>
      </c>
      <c r="F16" s="11" t="e">
        <f>'[2]Intern Progress'!I16</f>
        <v>#REF!</v>
      </c>
      <c r="G16" s="2"/>
      <c r="H16" s="2"/>
      <c r="I16" s="2" t="s">
        <v>23</v>
      </c>
      <c r="J16" s="2" t="s">
        <v>23</v>
      </c>
      <c r="K16" s="2" t="s">
        <v>23</v>
      </c>
      <c r="L16" s="2"/>
      <c r="M16" s="2"/>
      <c r="N16" s="2"/>
      <c r="O16" s="2"/>
      <c r="P16" s="2"/>
      <c r="Q16" s="2"/>
      <c r="R16" s="2"/>
      <c r="S16" s="2" t="s">
        <v>23</v>
      </c>
      <c r="T16" s="2" t="s">
        <v>23</v>
      </c>
      <c r="U16" s="2"/>
      <c r="V16" s="2"/>
      <c r="W16" s="2"/>
      <c r="X16" s="2"/>
      <c r="Y16" s="2"/>
      <c r="Z16" s="2"/>
      <c r="AA16" s="2"/>
      <c r="AB16" s="2"/>
      <c r="AC16" s="2" t="s">
        <v>48</v>
      </c>
      <c r="AD16" s="2" t="s">
        <v>48</v>
      </c>
      <c r="AE16" s="2"/>
      <c r="AF16" s="2"/>
      <c r="AG16" s="2"/>
      <c r="AH16" s="2"/>
      <c r="AI16" s="2"/>
      <c r="AJ16" s="2"/>
      <c r="AK16" s="2"/>
    </row>
    <row r="17" spans="2:37" ht="14.5" x14ac:dyDescent="0.35">
      <c r="B17" s="9" t="s">
        <v>56</v>
      </c>
      <c r="C17" s="9" t="s">
        <v>44</v>
      </c>
      <c r="D17" s="10" t="e">
        <f>VLOOKUP('2026 EOM and Scores'!$C17,'[1]Lists (Ignore)'!$N:$O,2,FALSE)</f>
        <v>#N/A</v>
      </c>
      <c r="E17" s="10" t="s">
        <v>20</v>
      </c>
      <c r="F17" s="11" t="s">
        <v>679</v>
      </c>
      <c r="G17" s="2" t="s">
        <v>32</v>
      </c>
      <c r="H17" s="2" t="s">
        <v>32</v>
      </c>
      <c r="I17" s="2">
        <v>4</v>
      </c>
      <c r="J17" s="2" t="s">
        <v>23</v>
      </c>
      <c r="K17" s="2" t="s">
        <v>23</v>
      </c>
      <c r="L17" s="2" t="s">
        <v>24</v>
      </c>
      <c r="M17" s="2" t="s">
        <v>24</v>
      </c>
      <c r="N17" s="2" t="s">
        <v>24</v>
      </c>
      <c r="O17" s="2" t="s">
        <v>24</v>
      </c>
      <c r="P17" s="2" t="s">
        <v>24</v>
      </c>
      <c r="Q17" s="2" t="s">
        <v>24</v>
      </c>
      <c r="R17" s="2"/>
      <c r="S17" s="2" t="s">
        <v>23</v>
      </c>
      <c r="T17" s="2" t="s">
        <v>23</v>
      </c>
      <c r="U17" s="2"/>
      <c r="V17" s="2"/>
      <c r="W17" s="2"/>
      <c r="X17" s="2"/>
      <c r="Y17" s="2"/>
      <c r="Z17" s="2"/>
      <c r="AA17" s="2"/>
      <c r="AB17" s="2"/>
      <c r="AC17" s="2" t="s">
        <v>48</v>
      </c>
      <c r="AD17" s="2" t="s">
        <v>48</v>
      </c>
      <c r="AE17" s="2"/>
      <c r="AF17" s="2"/>
      <c r="AG17" s="2"/>
      <c r="AH17" s="2"/>
      <c r="AI17" s="2"/>
      <c r="AJ17" s="2"/>
      <c r="AK17" s="2"/>
    </row>
    <row r="18" spans="2:37" ht="14.5" x14ac:dyDescent="0.35">
      <c r="B18" s="9" t="s">
        <v>57</v>
      </c>
      <c r="C18" s="9" t="s">
        <v>58</v>
      </c>
      <c r="D18" s="10" t="e">
        <f>VLOOKUP('2026 EOM and Scores'!$C18,'[1]Lists (Ignore)'!$N:$O,2,FALSE)</f>
        <v>#N/A</v>
      </c>
      <c r="E18" s="10" t="s">
        <v>20</v>
      </c>
      <c r="F18" s="11" t="s">
        <v>679</v>
      </c>
      <c r="G18" s="2" t="s">
        <v>21</v>
      </c>
      <c r="H18" s="2" t="s">
        <v>32</v>
      </c>
      <c r="I18" s="2">
        <v>4</v>
      </c>
      <c r="J18" s="2">
        <v>3</v>
      </c>
      <c r="K18" s="2" t="s">
        <v>23</v>
      </c>
      <c r="L18" s="2"/>
      <c r="M18" s="2"/>
      <c r="N18" s="2"/>
      <c r="O18" s="2"/>
      <c r="P18" s="2"/>
      <c r="Q18" s="2"/>
      <c r="R18" s="2"/>
      <c r="S18" s="2">
        <v>23</v>
      </c>
      <c r="T18" s="2">
        <v>9</v>
      </c>
      <c r="U18" s="2"/>
      <c r="V18" s="2"/>
      <c r="W18" s="2"/>
      <c r="X18" s="2"/>
      <c r="Y18" s="2"/>
      <c r="Z18" s="2"/>
      <c r="AA18" s="2"/>
      <c r="AB18" s="2"/>
      <c r="AC18" s="2" t="s">
        <v>28</v>
      </c>
      <c r="AD18" s="2" t="s">
        <v>28</v>
      </c>
      <c r="AE18" s="2"/>
      <c r="AF18" s="2"/>
      <c r="AG18" s="2"/>
      <c r="AH18" s="2"/>
      <c r="AI18" s="2"/>
      <c r="AJ18" s="2"/>
      <c r="AK18" s="2"/>
    </row>
    <row r="19" spans="2:37" ht="14.5" x14ac:dyDescent="0.35">
      <c r="B19" s="9" t="s">
        <v>59</v>
      </c>
      <c r="C19" s="9" t="s">
        <v>60</v>
      </c>
      <c r="D19" s="10" t="e">
        <f>VLOOKUP('2026 EOM and Scores'!$C19,'[1]Lists (Ignore)'!$N:$O,2,FALSE)</f>
        <v>#N/A</v>
      </c>
      <c r="E19" s="10" t="s">
        <v>41</v>
      </c>
      <c r="F19" s="11" t="s">
        <v>679</v>
      </c>
      <c r="G19" s="2"/>
      <c r="H19" s="2"/>
      <c r="I19" s="2" t="s">
        <v>23</v>
      </c>
      <c r="J19" s="2">
        <v>11</v>
      </c>
      <c r="K19" s="2" t="s">
        <v>23</v>
      </c>
      <c r="L19" s="2" t="s">
        <v>24</v>
      </c>
      <c r="M19" s="2" t="s">
        <v>24</v>
      </c>
      <c r="N19" s="2" t="s">
        <v>24</v>
      </c>
      <c r="O19" s="2" t="s">
        <v>24</v>
      </c>
      <c r="P19" s="2" t="s">
        <v>24</v>
      </c>
      <c r="Q19" s="2" t="s">
        <v>24</v>
      </c>
      <c r="R19" s="2"/>
      <c r="S19" s="2">
        <v>19</v>
      </c>
      <c r="T19" s="2" t="s">
        <v>23</v>
      </c>
      <c r="U19" s="2"/>
      <c r="V19" s="2"/>
      <c r="W19" s="2"/>
      <c r="X19" s="2"/>
      <c r="Y19" s="2"/>
      <c r="Z19" s="2"/>
      <c r="AA19" s="2"/>
      <c r="AB19" s="2"/>
      <c r="AC19" s="2" t="s">
        <v>29</v>
      </c>
      <c r="AD19" s="2" t="s">
        <v>25</v>
      </c>
      <c r="AE19" s="2" t="s">
        <v>29</v>
      </c>
      <c r="AF19" s="2"/>
      <c r="AG19" s="2"/>
      <c r="AH19" s="2"/>
      <c r="AI19" s="2"/>
      <c r="AJ19" s="2"/>
      <c r="AK19" s="2"/>
    </row>
    <row r="20" spans="2:37" ht="14.5" x14ac:dyDescent="0.35">
      <c r="B20" s="9" t="s">
        <v>61</v>
      </c>
      <c r="C20" s="9" t="s">
        <v>60</v>
      </c>
      <c r="D20" s="10" t="e">
        <f>VLOOKUP('2026 EOM and Scores'!$C20,'[1]Lists (Ignore)'!$N:$O,2,FALSE)</f>
        <v>#N/A</v>
      </c>
      <c r="E20" s="10" t="s">
        <v>20</v>
      </c>
      <c r="F20" s="11" t="s">
        <v>679</v>
      </c>
      <c r="G20" s="2"/>
      <c r="H20" s="2"/>
      <c r="I20" s="2" t="s">
        <v>23</v>
      </c>
      <c r="J20" s="2" t="s">
        <v>23</v>
      </c>
      <c r="K20" s="2" t="s">
        <v>23</v>
      </c>
      <c r="L20" s="2"/>
      <c r="M20" s="2"/>
      <c r="N20" s="2"/>
      <c r="O20" s="2"/>
      <c r="P20" s="2"/>
      <c r="Q20" s="2"/>
      <c r="R20" s="2"/>
      <c r="S20" s="2" t="s">
        <v>23</v>
      </c>
      <c r="T20" s="2" t="s">
        <v>23</v>
      </c>
      <c r="U20" s="2"/>
      <c r="V20" s="2"/>
      <c r="W20" s="2"/>
      <c r="X20" s="2"/>
      <c r="Y20" s="2"/>
      <c r="Z20" s="2"/>
      <c r="AA20" s="2"/>
      <c r="AB20" s="2"/>
      <c r="AC20" s="2" t="s">
        <v>48</v>
      </c>
      <c r="AD20" s="2" t="s">
        <v>48</v>
      </c>
      <c r="AE20" s="2"/>
      <c r="AF20" s="2"/>
      <c r="AG20" s="2"/>
      <c r="AH20" s="2"/>
      <c r="AI20" s="2"/>
      <c r="AJ20" s="2"/>
      <c r="AK20" s="2"/>
    </row>
    <row r="21" spans="2:37" ht="15.75" customHeight="1" x14ac:dyDescent="0.35">
      <c r="B21" s="9" t="s">
        <v>62</v>
      </c>
      <c r="C21" s="9" t="s">
        <v>19</v>
      </c>
      <c r="D21" s="10" t="e">
        <f>VLOOKUP('2026 EOM and Scores'!$C21,'[1]Lists (Ignore)'!$N:$O,2,FALSE)</f>
        <v>#N/A</v>
      </c>
      <c r="E21" s="10" t="s">
        <v>41</v>
      </c>
      <c r="F21" s="11" t="s">
        <v>679</v>
      </c>
      <c r="G21" s="2" t="s">
        <v>22</v>
      </c>
      <c r="H21" s="2" t="s">
        <v>22</v>
      </c>
      <c r="I21" s="2">
        <v>7</v>
      </c>
      <c r="J21" s="2" t="s">
        <v>23</v>
      </c>
      <c r="K21" s="2">
        <v>7</v>
      </c>
      <c r="L21" s="2" t="s">
        <v>24</v>
      </c>
      <c r="M21" s="2" t="s">
        <v>24</v>
      </c>
      <c r="N21" s="2" t="s">
        <v>24</v>
      </c>
      <c r="O21" s="2" t="s">
        <v>24</v>
      </c>
      <c r="P21" s="2" t="s">
        <v>24</v>
      </c>
      <c r="Q21" s="2" t="s">
        <v>24</v>
      </c>
      <c r="R21" s="2"/>
      <c r="S21" s="2" t="s">
        <v>23</v>
      </c>
      <c r="T21" s="2">
        <v>13</v>
      </c>
      <c r="U21" s="2"/>
      <c r="V21" s="2"/>
      <c r="W21" s="2"/>
      <c r="X21" s="2"/>
      <c r="Y21" s="2"/>
      <c r="Z21" s="2"/>
      <c r="AA21" s="2"/>
      <c r="AB21" s="2"/>
      <c r="AC21" s="2" t="s">
        <v>28</v>
      </c>
      <c r="AD21" s="2" t="s">
        <v>28</v>
      </c>
      <c r="AE21" s="2"/>
      <c r="AF21" s="2"/>
      <c r="AG21" s="2"/>
      <c r="AH21" s="2"/>
      <c r="AI21" s="2"/>
      <c r="AJ21" s="2"/>
      <c r="AK21" s="2"/>
    </row>
    <row r="22" spans="2:37" ht="15.75" customHeight="1" x14ac:dyDescent="0.35">
      <c r="B22" s="9" t="s">
        <v>63</v>
      </c>
      <c r="C22" s="9" t="s">
        <v>64</v>
      </c>
      <c r="D22" s="10" t="e">
        <f>VLOOKUP('2026 EOM and Scores'!$C22,'[1]Lists (Ignore)'!$N:$O,2,FALSE)</f>
        <v>#N/A</v>
      </c>
      <c r="E22" s="10" t="s">
        <v>20</v>
      </c>
      <c r="F22" s="11" t="s">
        <v>679</v>
      </c>
      <c r="G22" s="2" t="s">
        <v>32</v>
      </c>
      <c r="H22" s="2" t="s">
        <v>22</v>
      </c>
      <c r="I22" s="2">
        <v>9</v>
      </c>
      <c r="J22" s="2">
        <v>10</v>
      </c>
      <c r="K22" s="2" t="s">
        <v>23</v>
      </c>
      <c r="L22" s="2" t="s">
        <v>24</v>
      </c>
      <c r="M22" s="2" t="s">
        <v>24</v>
      </c>
      <c r="N22" s="2" t="s">
        <v>24</v>
      </c>
      <c r="O22" s="2" t="s">
        <v>24</v>
      </c>
      <c r="P22" s="2" t="s">
        <v>24</v>
      </c>
      <c r="Q22" s="2" t="s">
        <v>24</v>
      </c>
      <c r="R22" s="2"/>
      <c r="S22" s="2">
        <v>23</v>
      </c>
      <c r="T22" s="2" t="s">
        <v>23</v>
      </c>
      <c r="U22" s="2"/>
      <c r="V22" s="2"/>
      <c r="W22" s="2"/>
      <c r="X22" s="2"/>
      <c r="Y22" s="2"/>
      <c r="Z22" s="2"/>
      <c r="AA22" s="2"/>
      <c r="AB22" s="2"/>
      <c r="AC22" s="2" t="s">
        <v>28</v>
      </c>
      <c r="AD22" s="2" t="s">
        <v>28</v>
      </c>
      <c r="AE22" s="2"/>
      <c r="AF22" s="2"/>
      <c r="AG22" s="2"/>
      <c r="AH22" s="2"/>
      <c r="AI22" s="2"/>
      <c r="AJ22" s="2"/>
      <c r="AK22" s="2"/>
    </row>
    <row r="23" spans="2:37" ht="15.75" customHeight="1" x14ac:dyDescent="0.35">
      <c r="B23" s="9" t="s">
        <v>65</v>
      </c>
      <c r="C23" s="9" t="s">
        <v>66</v>
      </c>
      <c r="D23" s="10" t="e">
        <f>VLOOKUP('2026 EOM and Scores'!$C23,'[1]Lists (Ignore)'!$N:$O,2,FALSE)</f>
        <v>#N/A</v>
      </c>
      <c r="E23" s="10" t="s">
        <v>20</v>
      </c>
      <c r="F23" s="11" t="s">
        <v>679</v>
      </c>
      <c r="G23" s="2" t="s">
        <v>32</v>
      </c>
      <c r="H23" s="2" t="s">
        <v>22</v>
      </c>
      <c r="I23" s="2">
        <v>10</v>
      </c>
      <c r="J23" s="2">
        <v>9</v>
      </c>
      <c r="K23" s="2" t="s">
        <v>23</v>
      </c>
      <c r="L23" s="2"/>
      <c r="M23" s="2"/>
      <c r="N23" s="2"/>
      <c r="O23" s="2"/>
      <c r="P23" s="2"/>
      <c r="Q23" s="2"/>
      <c r="R23" s="2"/>
      <c r="S23" s="2">
        <v>23</v>
      </c>
      <c r="T23" s="2" t="s">
        <v>23</v>
      </c>
      <c r="U23" s="2"/>
      <c r="V23" s="2"/>
      <c r="W23" s="2"/>
      <c r="X23" s="2"/>
      <c r="Y23" s="2"/>
      <c r="Z23" s="2"/>
      <c r="AA23" s="2"/>
      <c r="AB23" s="2"/>
      <c r="AC23" s="2" t="s">
        <v>28</v>
      </c>
      <c r="AD23" s="2" t="s">
        <v>28</v>
      </c>
      <c r="AE23" s="2"/>
      <c r="AF23" s="2"/>
      <c r="AG23" s="2"/>
      <c r="AH23" s="2"/>
      <c r="AI23" s="2"/>
      <c r="AJ23" s="2"/>
      <c r="AK23" s="2"/>
    </row>
    <row r="24" spans="2:37" ht="15.75" customHeight="1" x14ac:dyDescent="0.35">
      <c r="B24" s="9" t="s">
        <v>67</v>
      </c>
      <c r="C24" s="9" t="s">
        <v>68</v>
      </c>
      <c r="D24" s="10" t="e">
        <f>VLOOKUP('2026 EOM and Scores'!$C24,'[1]Lists (Ignore)'!$N:$O,2,FALSE)</f>
        <v>#N/A</v>
      </c>
      <c r="E24" s="10" t="s">
        <v>20</v>
      </c>
      <c r="F24" s="11" t="s">
        <v>679</v>
      </c>
      <c r="G24" s="2"/>
      <c r="H24" s="2"/>
      <c r="I24" s="2" t="s">
        <v>23</v>
      </c>
      <c r="J24" s="2" t="s">
        <v>23</v>
      </c>
      <c r="K24" s="2" t="s">
        <v>23</v>
      </c>
      <c r="L24" s="2"/>
      <c r="M24" s="2"/>
      <c r="N24" s="2"/>
      <c r="O24" s="2"/>
      <c r="P24" s="2"/>
      <c r="Q24" s="2"/>
      <c r="R24" s="2"/>
      <c r="S24" s="2" t="s">
        <v>23</v>
      </c>
      <c r="T24" s="2" t="s">
        <v>23</v>
      </c>
      <c r="U24" s="2"/>
      <c r="V24" s="2"/>
      <c r="W24" s="2"/>
      <c r="X24" s="2"/>
      <c r="Y24" s="2"/>
      <c r="Z24" s="2"/>
      <c r="AA24" s="2"/>
      <c r="AB24" s="2"/>
      <c r="AC24" s="2" t="s">
        <v>48</v>
      </c>
      <c r="AD24" s="2" t="s">
        <v>48</v>
      </c>
      <c r="AE24" s="2"/>
      <c r="AF24" s="2"/>
      <c r="AG24" s="2"/>
      <c r="AH24" s="2"/>
      <c r="AI24" s="2"/>
      <c r="AJ24" s="2"/>
      <c r="AK24" s="2"/>
    </row>
    <row r="25" spans="2:37" ht="15.75" customHeight="1" x14ac:dyDescent="0.35">
      <c r="B25" s="9" t="s">
        <v>69</v>
      </c>
      <c r="C25" s="9" t="s">
        <v>70</v>
      </c>
      <c r="D25" s="10" t="e">
        <f>VLOOKUP('2026 EOM and Scores'!$C25,'[1]Lists (Ignore)'!$N:$O,2,FALSE)</f>
        <v>#N/A</v>
      </c>
      <c r="E25" s="10" t="s">
        <v>20</v>
      </c>
      <c r="F25" s="11" t="s">
        <v>679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 t="s">
        <v>23</v>
      </c>
      <c r="T25" s="2" t="s">
        <v>23</v>
      </c>
      <c r="U25" s="2"/>
      <c r="V25" s="2"/>
      <c r="W25" s="2"/>
      <c r="X25" s="2"/>
      <c r="Y25" s="2"/>
      <c r="Z25" s="2"/>
      <c r="AA25" s="2"/>
      <c r="AB25" s="2"/>
      <c r="AC25" s="2" t="s">
        <v>48</v>
      </c>
      <c r="AD25" s="2" t="s">
        <v>48</v>
      </c>
      <c r="AE25" s="2"/>
      <c r="AF25" s="2"/>
      <c r="AG25" s="2"/>
      <c r="AH25" s="2"/>
      <c r="AI25" s="2"/>
      <c r="AJ25" s="2"/>
      <c r="AK25" s="2"/>
    </row>
    <row r="26" spans="2:37" ht="15.75" customHeight="1" x14ac:dyDescent="0.35">
      <c r="B26" s="9" t="s">
        <v>71</v>
      </c>
      <c r="C26" s="9" t="s">
        <v>72</v>
      </c>
      <c r="D26" s="10" t="e">
        <f>VLOOKUP('2026 EOM and Scores'!$C26,'[1]Lists (Ignore)'!$N:$O,2,FALSE)</f>
        <v>#N/A</v>
      </c>
      <c r="E26" s="10" t="s">
        <v>41</v>
      </c>
      <c r="F26" s="11" t="s">
        <v>679</v>
      </c>
      <c r="G26" s="2"/>
      <c r="H26" s="2"/>
      <c r="I26" s="2" t="s">
        <v>23</v>
      </c>
      <c r="J26" s="2">
        <v>9</v>
      </c>
      <c r="K26" s="2" t="s">
        <v>23</v>
      </c>
      <c r="L26" s="2" t="s">
        <v>24</v>
      </c>
      <c r="M26" s="2" t="s">
        <v>24</v>
      </c>
      <c r="N26" s="2" t="s">
        <v>24</v>
      </c>
      <c r="O26" s="2" t="s">
        <v>24</v>
      </c>
      <c r="P26" s="2" t="s">
        <v>24</v>
      </c>
      <c r="Q26" s="2" t="s">
        <v>24</v>
      </c>
      <c r="R26" s="2"/>
      <c r="S26" s="2">
        <v>23</v>
      </c>
      <c r="T26" s="2" t="s">
        <v>23</v>
      </c>
      <c r="U26" s="2"/>
      <c r="V26" s="2"/>
      <c r="W26" s="2"/>
      <c r="X26" s="2"/>
      <c r="Y26" s="2"/>
      <c r="Z26" s="2"/>
      <c r="AA26" s="2"/>
      <c r="AB26" s="2"/>
      <c r="AC26" s="2" t="s">
        <v>48</v>
      </c>
      <c r="AD26" s="2" t="s">
        <v>48</v>
      </c>
      <c r="AE26" s="2"/>
      <c r="AF26" s="2"/>
      <c r="AG26" s="2"/>
      <c r="AH26" s="2"/>
      <c r="AI26" s="2"/>
      <c r="AJ26" s="2"/>
      <c r="AK26" s="2"/>
    </row>
    <row r="27" spans="2:37" ht="15.75" customHeight="1" x14ac:dyDescent="0.35">
      <c r="B27" s="9" t="s">
        <v>73</v>
      </c>
      <c r="C27" s="9" t="s">
        <v>38</v>
      </c>
      <c r="D27" s="10" t="e">
        <f>VLOOKUP('2026 EOM and Scores'!$C27,'[1]Lists (Ignore)'!$N:$O,2,FALSE)</f>
        <v>#N/A</v>
      </c>
      <c r="E27" s="10" t="s">
        <v>20</v>
      </c>
      <c r="F27" s="11" t="s">
        <v>679</v>
      </c>
      <c r="G27" s="2" t="s">
        <v>21</v>
      </c>
      <c r="H27" s="2" t="s">
        <v>22</v>
      </c>
      <c r="I27" s="2">
        <v>9</v>
      </c>
      <c r="J27" s="2" t="s">
        <v>23</v>
      </c>
      <c r="K27" s="2" t="s">
        <v>23</v>
      </c>
      <c r="L27" s="2"/>
      <c r="M27" s="2"/>
      <c r="N27" s="2"/>
      <c r="O27" s="2"/>
      <c r="P27" s="2"/>
      <c r="Q27" s="2"/>
      <c r="R27" s="2"/>
      <c r="S27" s="2" t="s">
        <v>23</v>
      </c>
      <c r="T27" s="2" t="s">
        <v>23</v>
      </c>
      <c r="U27" s="2"/>
      <c r="V27" s="2"/>
      <c r="W27" s="2"/>
      <c r="X27" s="2"/>
      <c r="Y27" s="2"/>
      <c r="Z27" s="2"/>
      <c r="AA27" s="2"/>
      <c r="AB27" s="2"/>
      <c r="AC27" s="2" t="s">
        <v>48</v>
      </c>
      <c r="AD27" s="2" t="s">
        <v>48</v>
      </c>
      <c r="AE27" s="2"/>
      <c r="AF27" s="2"/>
      <c r="AG27" s="2"/>
      <c r="AH27" s="2"/>
      <c r="AI27" s="2"/>
      <c r="AJ27" s="2"/>
      <c r="AK27" s="2"/>
    </row>
    <row r="28" spans="2:37" ht="15.75" customHeight="1" x14ac:dyDescent="0.35">
      <c r="B28" s="9" t="s">
        <v>74</v>
      </c>
      <c r="C28" s="9" t="s">
        <v>75</v>
      </c>
      <c r="D28" s="10" t="e">
        <f>VLOOKUP('2026 EOM and Scores'!$C28,'[1]Lists (Ignore)'!$N:$O,2,FALSE)</f>
        <v>#N/A</v>
      </c>
      <c r="E28" s="10" t="s">
        <v>20</v>
      </c>
      <c r="F28" s="11" t="s">
        <v>679</v>
      </c>
      <c r="G28" s="2" t="s">
        <v>32</v>
      </c>
      <c r="H28" s="2" t="s">
        <v>22</v>
      </c>
      <c r="I28" s="2">
        <v>7</v>
      </c>
      <c r="J28" s="2" t="s">
        <v>23</v>
      </c>
      <c r="K28" s="2">
        <v>7</v>
      </c>
      <c r="L28" s="2" t="s">
        <v>24</v>
      </c>
      <c r="M28" s="2" t="s">
        <v>24</v>
      </c>
      <c r="N28" s="2" t="s">
        <v>24</v>
      </c>
      <c r="O28" s="2" t="s">
        <v>24</v>
      </c>
      <c r="P28" s="2" t="s">
        <v>24</v>
      </c>
      <c r="Q28" s="2" t="s">
        <v>24</v>
      </c>
      <c r="R28" s="2"/>
      <c r="S28" s="2" t="s">
        <v>23</v>
      </c>
      <c r="T28" s="2">
        <v>13</v>
      </c>
      <c r="U28" s="2"/>
      <c r="V28" s="2"/>
      <c r="W28" s="2"/>
      <c r="X28" s="2"/>
      <c r="Y28" s="2"/>
      <c r="Z28" s="2"/>
      <c r="AA28" s="2"/>
      <c r="AB28" s="2"/>
      <c r="AC28" s="2" t="s">
        <v>28</v>
      </c>
      <c r="AD28" s="2" t="s">
        <v>25</v>
      </c>
      <c r="AE28" s="2" t="s">
        <v>25</v>
      </c>
      <c r="AF28" s="2"/>
      <c r="AG28" s="2"/>
      <c r="AH28" s="2"/>
      <c r="AI28" s="2"/>
      <c r="AJ28" s="2"/>
      <c r="AK28" s="2"/>
    </row>
    <row r="29" spans="2:37" ht="15.75" customHeight="1" x14ac:dyDescent="0.35">
      <c r="B29" s="9" t="s">
        <v>76</v>
      </c>
      <c r="C29" s="9" t="s">
        <v>77</v>
      </c>
      <c r="D29" s="10" t="e">
        <f>VLOOKUP('2026 EOM and Scores'!$C29,'[1]Lists (Ignore)'!$N:$O,2,FALSE)</f>
        <v>#N/A</v>
      </c>
      <c r="E29" s="10" t="s">
        <v>47</v>
      </c>
      <c r="F29" s="11" t="s">
        <v>679</v>
      </c>
      <c r="G29" s="2" t="s">
        <v>32</v>
      </c>
      <c r="H29" s="2" t="s">
        <v>22</v>
      </c>
      <c r="I29" s="2" t="s">
        <v>23</v>
      </c>
      <c r="J29" s="2">
        <v>11</v>
      </c>
      <c r="K29" s="2" t="s">
        <v>23</v>
      </c>
      <c r="L29" s="2" t="s">
        <v>24</v>
      </c>
      <c r="M29" s="2" t="s">
        <v>24</v>
      </c>
      <c r="N29" s="2" t="s">
        <v>24</v>
      </c>
      <c r="O29" s="2" t="s">
        <v>24</v>
      </c>
      <c r="P29" s="2" t="s">
        <v>24</v>
      </c>
      <c r="Q29" s="2" t="s">
        <v>24</v>
      </c>
      <c r="R29" s="2"/>
      <c r="S29" s="2">
        <v>19</v>
      </c>
      <c r="T29" s="2" t="s">
        <v>23</v>
      </c>
      <c r="U29" s="2"/>
      <c r="V29" s="2"/>
      <c r="W29" s="2"/>
      <c r="X29" s="2"/>
      <c r="Y29" s="2"/>
      <c r="Z29" s="2"/>
      <c r="AA29" s="2"/>
      <c r="AB29" s="2"/>
      <c r="AC29" s="2" t="s">
        <v>25</v>
      </c>
      <c r="AD29" s="2" t="s">
        <v>48</v>
      </c>
      <c r="AE29" s="2"/>
      <c r="AF29" s="2"/>
      <c r="AG29" s="2"/>
      <c r="AH29" s="2"/>
      <c r="AI29" s="2"/>
      <c r="AJ29" s="2"/>
      <c r="AK29" s="2"/>
    </row>
    <row r="30" spans="2:37" ht="15.75" customHeight="1" x14ac:dyDescent="0.35">
      <c r="B30" s="9" t="s">
        <v>78</v>
      </c>
      <c r="C30" s="9" t="s">
        <v>79</v>
      </c>
      <c r="D30" s="10" t="e">
        <f>VLOOKUP('2026 EOM and Scores'!$C30,'[1]Lists (Ignore)'!$N:$O,2,FALSE)</f>
        <v>#N/A</v>
      </c>
      <c r="E30" s="10" t="s">
        <v>47</v>
      </c>
      <c r="F30" s="11" t="s">
        <v>679</v>
      </c>
      <c r="G30" s="2" t="s">
        <v>21</v>
      </c>
      <c r="H30" s="2" t="s">
        <v>22</v>
      </c>
      <c r="I30" s="2" t="s">
        <v>23</v>
      </c>
      <c r="J30" s="2">
        <v>10</v>
      </c>
      <c r="K30" s="2" t="s">
        <v>23</v>
      </c>
      <c r="L30" s="2" t="s">
        <v>24</v>
      </c>
      <c r="M30" s="2" t="s">
        <v>24</v>
      </c>
      <c r="N30" s="2" t="s">
        <v>24</v>
      </c>
      <c r="O30" s="2" t="s">
        <v>24</v>
      </c>
      <c r="P30" s="2" t="s">
        <v>24</v>
      </c>
      <c r="Q30" s="2" t="s">
        <v>24</v>
      </c>
      <c r="R30" s="2"/>
      <c r="S30" s="2">
        <v>18</v>
      </c>
      <c r="T30" s="2" t="s">
        <v>23</v>
      </c>
      <c r="U30" s="2"/>
      <c r="V30" s="2"/>
      <c r="W30" s="2"/>
      <c r="X30" s="2"/>
      <c r="Y30" s="2"/>
      <c r="Z30" s="2"/>
      <c r="AA30" s="2"/>
      <c r="AB30" s="2"/>
      <c r="AC30" s="2" t="s">
        <v>48</v>
      </c>
      <c r="AD30" s="2" t="s">
        <v>48</v>
      </c>
      <c r="AE30" s="2"/>
      <c r="AF30" s="2"/>
      <c r="AG30" s="2"/>
      <c r="AH30" s="2"/>
      <c r="AI30" s="2"/>
      <c r="AJ30" s="2"/>
      <c r="AK30" s="2"/>
    </row>
    <row r="31" spans="2:37" ht="15.75" customHeight="1" x14ac:dyDescent="0.35">
      <c r="B31" s="9" t="s">
        <v>80</v>
      </c>
      <c r="C31" s="9" t="s">
        <v>81</v>
      </c>
      <c r="D31" s="10" t="e">
        <f>VLOOKUP('2026 EOM and Scores'!$C31,'[1]Lists (Ignore)'!$N:$O,2,FALSE)</f>
        <v>#N/A</v>
      </c>
      <c r="E31" s="10" t="s">
        <v>47</v>
      </c>
      <c r="F31" s="11" t="s">
        <v>679</v>
      </c>
      <c r="G31" s="2" t="s">
        <v>32</v>
      </c>
      <c r="H31" s="2" t="s">
        <v>22</v>
      </c>
      <c r="I31" s="2" t="s">
        <v>23</v>
      </c>
      <c r="J31" s="2" t="s">
        <v>23</v>
      </c>
      <c r="K31" s="2" t="s">
        <v>23</v>
      </c>
      <c r="L31" s="2"/>
      <c r="M31" s="2"/>
      <c r="N31" s="2"/>
      <c r="O31" s="2"/>
      <c r="P31" s="2"/>
      <c r="Q31" s="2"/>
      <c r="R31" s="2"/>
      <c r="S31" s="2" t="s">
        <v>23</v>
      </c>
      <c r="T31" s="2" t="s">
        <v>23</v>
      </c>
      <c r="U31" s="2"/>
      <c r="V31" s="2"/>
      <c r="W31" s="2"/>
      <c r="X31" s="2"/>
      <c r="Y31" s="2"/>
      <c r="Z31" s="2"/>
      <c r="AA31" s="2"/>
      <c r="AB31" s="2"/>
      <c r="AC31" s="2" t="s">
        <v>48</v>
      </c>
      <c r="AD31" s="2" t="s">
        <v>48</v>
      </c>
      <c r="AE31" s="2"/>
      <c r="AF31" s="2"/>
      <c r="AG31" s="2"/>
      <c r="AH31" s="2"/>
      <c r="AI31" s="2"/>
      <c r="AJ31" s="2"/>
      <c r="AK31" s="2"/>
    </row>
    <row r="32" spans="2:37" ht="15.75" customHeight="1" x14ac:dyDescent="0.35">
      <c r="B32" s="9" t="s">
        <v>82</v>
      </c>
      <c r="C32" s="9" t="s">
        <v>83</v>
      </c>
      <c r="D32" s="10" t="e">
        <f>VLOOKUP('2026 EOM and Scores'!$C32,'[1]Lists (Ignore)'!$N:$O,2,FALSE)</f>
        <v>#N/A</v>
      </c>
      <c r="E32" s="10" t="s">
        <v>47</v>
      </c>
      <c r="F32" s="11" t="s">
        <v>679</v>
      </c>
      <c r="G32" s="2" t="s">
        <v>21</v>
      </c>
      <c r="H32" s="2" t="s">
        <v>22</v>
      </c>
      <c r="I32" s="2" t="s">
        <v>23</v>
      </c>
      <c r="J32" s="2">
        <v>12</v>
      </c>
      <c r="K32" s="2" t="s">
        <v>23</v>
      </c>
      <c r="L32" s="2" t="s">
        <v>24</v>
      </c>
      <c r="M32" s="2" t="s">
        <v>24</v>
      </c>
      <c r="N32" s="2" t="s">
        <v>24</v>
      </c>
      <c r="O32" s="2" t="s">
        <v>24</v>
      </c>
      <c r="P32" s="2" t="s">
        <v>24</v>
      </c>
      <c r="Q32" s="2" t="s">
        <v>24</v>
      </c>
      <c r="R32" s="2"/>
      <c r="S32" s="2">
        <v>26</v>
      </c>
      <c r="T32" s="2">
        <v>14</v>
      </c>
      <c r="U32" s="2"/>
      <c r="V32" s="2"/>
      <c r="W32" s="2"/>
      <c r="X32" s="2"/>
      <c r="Y32" s="2"/>
      <c r="Z32" s="2"/>
      <c r="AA32" s="2"/>
      <c r="AB32" s="2"/>
      <c r="AC32" s="2" t="s">
        <v>28</v>
      </c>
      <c r="AD32" s="2" t="s">
        <v>28</v>
      </c>
      <c r="AE32" s="2"/>
      <c r="AF32" s="2"/>
      <c r="AG32" s="2"/>
      <c r="AH32" s="2"/>
      <c r="AI32" s="2"/>
      <c r="AJ32" s="2"/>
      <c r="AK32" s="2"/>
    </row>
    <row r="33" spans="2:37" ht="15.75" customHeight="1" x14ac:dyDescent="0.35">
      <c r="B33" s="9" t="s">
        <v>84</v>
      </c>
      <c r="C33" s="9" t="s">
        <v>85</v>
      </c>
      <c r="D33" s="10" t="e">
        <f>VLOOKUP('2026 EOM and Scores'!$C33,'[1]Lists (Ignore)'!$N:$O,2,FALSE)</f>
        <v>#N/A</v>
      </c>
      <c r="E33" s="10" t="s">
        <v>47</v>
      </c>
      <c r="F33" s="11" t="s">
        <v>679</v>
      </c>
      <c r="G33" s="2" t="s">
        <v>21</v>
      </c>
      <c r="H33" s="2" t="s">
        <v>22</v>
      </c>
      <c r="I33" s="2">
        <v>11</v>
      </c>
      <c r="J33" s="2">
        <v>10</v>
      </c>
      <c r="K33" s="2">
        <v>0</v>
      </c>
      <c r="L33" s="2" t="s">
        <v>24</v>
      </c>
      <c r="M33" s="2" t="s">
        <v>24</v>
      </c>
      <c r="N33" s="2" t="s">
        <v>24</v>
      </c>
      <c r="O33" s="2" t="s">
        <v>24</v>
      </c>
      <c r="P33" s="2" t="s">
        <v>24</v>
      </c>
      <c r="Q33" s="2" t="s">
        <v>24</v>
      </c>
      <c r="R33" s="2"/>
      <c r="S33" s="2">
        <v>18</v>
      </c>
      <c r="T33" s="2">
        <v>10</v>
      </c>
      <c r="U33" s="2"/>
      <c r="V33" s="2"/>
      <c r="W33" s="2"/>
      <c r="X33" s="2"/>
      <c r="Y33" s="2"/>
      <c r="Z33" s="2"/>
      <c r="AA33" s="2"/>
      <c r="AB33" s="2"/>
      <c r="AC33" s="2" t="s">
        <v>25</v>
      </c>
      <c r="AD33" s="2" t="s">
        <v>28</v>
      </c>
      <c r="AE33" s="2"/>
      <c r="AF33" s="2"/>
      <c r="AG33" s="2"/>
      <c r="AH33" s="2"/>
      <c r="AI33" s="2"/>
      <c r="AJ33" s="2"/>
      <c r="AK33" s="2"/>
    </row>
    <row r="34" spans="2:37" ht="15.75" customHeight="1" x14ac:dyDescent="0.35">
      <c r="B34" s="9" t="s">
        <v>86</v>
      </c>
      <c r="C34" s="9" t="s">
        <v>87</v>
      </c>
      <c r="D34" s="10" t="e">
        <f>VLOOKUP('2026 EOM and Scores'!$C34,'[1]Lists (Ignore)'!$N:$O,2,FALSE)</f>
        <v>#N/A</v>
      </c>
      <c r="E34" s="10" t="s">
        <v>20</v>
      </c>
      <c r="F34" s="11" t="s">
        <v>679</v>
      </c>
      <c r="G34" s="2" t="s">
        <v>32</v>
      </c>
      <c r="H34" s="2" t="s">
        <v>22</v>
      </c>
      <c r="I34" s="2" t="s">
        <v>23</v>
      </c>
      <c r="J34" s="2" t="s">
        <v>23</v>
      </c>
      <c r="K34" s="2" t="s">
        <v>23</v>
      </c>
      <c r="L34" s="2" t="s">
        <v>24</v>
      </c>
      <c r="M34" s="2" t="s">
        <v>24</v>
      </c>
      <c r="N34" s="2" t="s">
        <v>24</v>
      </c>
      <c r="O34" s="2" t="s">
        <v>24</v>
      </c>
      <c r="P34" s="2" t="s">
        <v>24</v>
      </c>
      <c r="Q34" s="2" t="s">
        <v>24</v>
      </c>
      <c r="R34" s="2"/>
      <c r="S34" s="2" t="s">
        <v>23</v>
      </c>
      <c r="T34" s="2" t="s">
        <v>23</v>
      </c>
      <c r="U34" s="2"/>
      <c r="V34" s="2"/>
      <c r="W34" s="2"/>
      <c r="X34" s="2"/>
      <c r="Y34" s="2"/>
      <c r="Z34" s="2"/>
      <c r="AA34" s="2"/>
      <c r="AB34" s="2"/>
      <c r="AC34" s="2" t="s">
        <v>48</v>
      </c>
      <c r="AD34" s="2" t="s">
        <v>48</v>
      </c>
      <c r="AE34" s="2"/>
      <c r="AF34" s="2"/>
      <c r="AG34" s="2"/>
      <c r="AH34" s="2"/>
      <c r="AI34" s="2"/>
      <c r="AJ34" s="2"/>
      <c r="AK34" s="2"/>
    </row>
    <row r="35" spans="2:37" ht="15.75" customHeight="1" x14ac:dyDescent="0.35">
      <c r="B35" s="9" t="s">
        <v>88</v>
      </c>
      <c r="C35" s="9" t="s">
        <v>83</v>
      </c>
      <c r="D35" s="10" t="e">
        <f>VLOOKUP('2026 EOM and Scores'!$C35,'[1]Lists (Ignore)'!$N:$O,2,FALSE)</f>
        <v>#N/A</v>
      </c>
      <c r="E35" s="10" t="s">
        <v>20</v>
      </c>
      <c r="F35" s="11" t="s">
        <v>679</v>
      </c>
      <c r="G35" s="2" t="s">
        <v>21</v>
      </c>
      <c r="H35" s="2" t="s">
        <v>22</v>
      </c>
      <c r="I35" s="2">
        <v>11</v>
      </c>
      <c r="J35" s="2" t="s">
        <v>23</v>
      </c>
      <c r="K35" s="2" t="s">
        <v>23</v>
      </c>
      <c r="L35" s="2"/>
      <c r="M35" s="2"/>
      <c r="N35" s="2"/>
      <c r="O35" s="2"/>
      <c r="P35" s="2"/>
      <c r="Q35" s="2"/>
      <c r="R35" s="2"/>
      <c r="S35" s="2" t="s">
        <v>23</v>
      </c>
      <c r="T35" s="2" t="s">
        <v>23</v>
      </c>
      <c r="U35" s="2"/>
      <c r="V35" s="2"/>
      <c r="W35" s="2"/>
      <c r="X35" s="2"/>
      <c r="Y35" s="2"/>
      <c r="Z35" s="2"/>
      <c r="AA35" s="2"/>
      <c r="AB35" s="2"/>
      <c r="AC35" s="2" t="s">
        <v>29</v>
      </c>
      <c r="AD35" s="2" t="s">
        <v>25</v>
      </c>
      <c r="AE35" s="2"/>
      <c r="AF35" s="2"/>
      <c r="AG35" s="2"/>
      <c r="AH35" s="2"/>
      <c r="AI35" s="2"/>
      <c r="AJ35" s="2"/>
      <c r="AK35" s="2"/>
    </row>
    <row r="36" spans="2:37" ht="15.75" customHeight="1" x14ac:dyDescent="0.35">
      <c r="B36" s="9" t="s">
        <v>89</v>
      </c>
      <c r="C36" s="9" t="s">
        <v>50</v>
      </c>
      <c r="D36" s="10" t="e">
        <f>VLOOKUP('2026 EOM and Scores'!$C36,'[1]Lists (Ignore)'!$N:$O,2,FALSE)</f>
        <v>#N/A</v>
      </c>
      <c r="E36" s="10" t="s">
        <v>20</v>
      </c>
      <c r="F36" s="11" t="s">
        <v>679</v>
      </c>
      <c r="G36" s="2" t="s">
        <v>32</v>
      </c>
      <c r="H36" s="2" t="s">
        <v>22</v>
      </c>
      <c r="I36" s="2" t="s">
        <v>23</v>
      </c>
      <c r="J36" s="2" t="s">
        <v>23</v>
      </c>
      <c r="K36" s="2" t="s">
        <v>23</v>
      </c>
      <c r="L36" s="2"/>
      <c r="M36" s="2"/>
      <c r="N36" s="2"/>
      <c r="O36" s="2"/>
      <c r="P36" s="2"/>
      <c r="Q36" s="2"/>
      <c r="R36" s="2"/>
      <c r="S36" s="2" t="s">
        <v>23</v>
      </c>
      <c r="T36" s="2" t="s">
        <v>23</v>
      </c>
      <c r="U36" s="2"/>
      <c r="V36" s="2"/>
      <c r="W36" s="2"/>
      <c r="X36" s="2"/>
      <c r="Y36" s="2"/>
      <c r="Z36" s="2"/>
      <c r="AA36" s="2"/>
      <c r="AB36" s="2"/>
      <c r="AC36" s="2" t="s">
        <v>28</v>
      </c>
      <c r="AD36" s="2" t="s">
        <v>28</v>
      </c>
      <c r="AE36" s="2"/>
      <c r="AF36" s="2"/>
      <c r="AG36" s="2"/>
      <c r="AH36" s="2"/>
      <c r="AI36" s="2"/>
      <c r="AJ36" s="2"/>
      <c r="AK36" s="2"/>
    </row>
    <row r="37" spans="2:37" ht="15.75" customHeight="1" x14ac:dyDescent="0.35">
      <c r="B37" s="9" t="s">
        <v>90</v>
      </c>
      <c r="C37" s="9" t="s">
        <v>91</v>
      </c>
      <c r="D37" s="10" t="e">
        <f>VLOOKUP('2026 EOM and Scores'!$C37,'[1]Lists (Ignore)'!$N:$O,2,FALSE)</f>
        <v>#N/A</v>
      </c>
      <c r="E37" s="10" t="s">
        <v>20</v>
      </c>
      <c r="F37" s="11" t="s">
        <v>679</v>
      </c>
      <c r="G37" s="2" t="s">
        <v>32</v>
      </c>
      <c r="H37" s="2" t="s">
        <v>32</v>
      </c>
      <c r="I37" s="2">
        <v>9</v>
      </c>
      <c r="J37" s="2">
        <v>9</v>
      </c>
      <c r="K37" s="2" t="s">
        <v>23</v>
      </c>
      <c r="L37" s="2"/>
      <c r="M37" s="2"/>
      <c r="N37" s="2"/>
      <c r="O37" s="2"/>
      <c r="P37" s="2"/>
      <c r="Q37" s="2"/>
      <c r="R37" s="2"/>
      <c r="S37" s="2">
        <v>21</v>
      </c>
      <c r="T37" s="2" t="s">
        <v>23</v>
      </c>
      <c r="U37" s="2"/>
      <c r="V37" s="2"/>
      <c r="W37" s="2"/>
      <c r="X37" s="2"/>
      <c r="Y37" s="2"/>
      <c r="Z37" s="2"/>
      <c r="AA37" s="2"/>
      <c r="AB37" s="2"/>
      <c r="AC37" s="2" t="s">
        <v>25</v>
      </c>
      <c r="AD37" s="2" t="s">
        <v>25</v>
      </c>
      <c r="AE37" s="2" t="s">
        <v>25</v>
      </c>
      <c r="AF37" s="2"/>
      <c r="AG37" s="2"/>
      <c r="AH37" s="2"/>
      <c r="AI37" s="2"/>
      <c r="AJ37" s="2"/>
      <c r="AK37" s="2"/>
    </row>
    <row r="38" spans="2:37" ht="15.75" customHeight="1" x14ac:dyDescent="0.35">
      <c r="B38" s="9" t="s">
        <v>92</v>
      </c>
      <c r="C38" s="9" t="s">
        <v>93</v>
      </c>
      <c r="D38" s="10" t="e">
        <f>VLOOKUP('2026 EOM and Scores'!$C38,'[1]Lists (Ignore)'!$N:$O,2,FALSE)</f>
        <v>#N/A</v>
      </c>
      <c r="E38" s="10" t="s">
        <v>20</v>
      </c>
      <c r="F38" s="11" t="s">
        <v>679</v>
      </c>
      <c r="G38" s="2" t="s">
        <v>32</v>
      </c>
      <c r="H38" s="2" t="s">
        <v>22</v>
      </c>
      <c r="I38" s="2">
        <v>10</v>
      </c>
      <c r="J38" s="2">
        <v>9</v>
      </c>
      <c r="K38" s="2" t="s">
        <v>23</v>
      </c>
      <c r="L38" s="2" t="s">
        <v>24</v>
      </c>
      <c r="M38" s="2" t="s">
        <v>24</v>
      </c>
      <c r="N38" s="2" t="s">
        <v>24</v>
      </c>
      <c r="O38" s="2" t="s">
        <v>24</v>
      </c>
      <c r="P38" s="2" t="s">
        <v>24</v>
      </c>
      <c r="Q38" s="2" t="s">
        <v>24</v>
      </c>
      <c r="R38" s="2"/>
      <c r="S38" s="2">
        <v>22</v>
      </c>
      <c r="T38" s="2">
        <v>12</v>
      </c>
      <c r="U38" s="2"/>
      <c r="V38" s="2"/>
      <c r="W38" s="2"/>
      <c r="X38" s="2"/>
      <c r="Y38" s="2"/>
      <c r="Z38" s="2"/>
      <c r="AA38" s="2"/>
      <c r="AB38" s="2"/>
      <c r="AC38" s="2" t="s">
        <v>29</v>
      </c>
      <c r="AD38" s="2" t="s">
        <v>28</v>
      </c>
      <c r="AE38" s="2"/>
      <c r="AF38" s="2"/>
      <c r="AG38" s="2"/>
      <c r="AH38" s="2"/>
      <c r="AI38" s="2"/>
      <c r="AJ38" s="2"/>
      <c r="AK38" s="2"/>
    </row>
    <row r="39" spans="2:37" ht="15.75" customHeight="1" x14ac:dyDescent="0.35">
      <c r="B39" s="9" t="s">
        <v>94</v>
      </c>
      <c r="C39" s="9" t="s">
        <v>91</v>
      </c>
      <c r="D39" s="10" t="e">
        <f>VLOOKUP('2026 EOM and Scores'!$C39,'[1]Lists (Ignore)'!$N:$O,2,FALSE)</f>
        <v>#N/A</v>
      </c>
      <c r="E39" s="10" t="s">
        <v>47</v>
      </c>
      <c r="F39" s="11" t="s">
        <v>679</v>
      </c>
      <c r="G39" s="2" t="s">
        <v>21</v>
      </c>
      <c r="H39" s="2" t="s">
        <v>22</v>
      </c>
      <c r="I39" s="2">
        <v>9</v>
      </c>
      <c r="J39" s="2">
        <v>11</v>
      </c>
      <c r="K39" s="2">
        <v>11</v>
      </c>
      <c r="L39" s="2"/>
      <c r="M39" s="2"/>
      <c r="N39" s="2"/>
      <c r="O39" s="2"/>
      <c r="P39" s="2"/>
      <c r="Q39" s="2"/>
      <c r="R39" s="2"/>
      <c r="S39" s="2">
        <v>25</v>
      </c>
      <c r="T39" s="2">
        <v>14</v>
      </c>
      <c r="U39" s="2"/>
      <c r="V39" s="2"/>
      <c r="W39" s="2"/>
      <c r="X39" s="2"/>
      <c r="Y39" s="2"/>
      <c r="Z39" s="2"/>
      <c r="AA39" s="2"/>
      <c r="AB39" s="2"/>
      <c r="AC39" s="2" t="s">
        <v>25</v>
      </c>
      <c r="AD39" s="2" t="s">
        <v>25</v>
      </c>
      <c r="AE39" s="2" t="s">
        <v>25</v>
      </c>
      <c r="AF39" s="2"/>
      <c r="AG39" s="2"/>
      <c r="AH39" s="2"/>
      <c r="AI39" s="2"/>
      <c r="AJ39" s="2"/>
      <c r="AK39" s="2"/>
    </row>
    <row r="40" spans="2:37" ht="15.75" customHeight="1" x14ac:dyDescent="0.35">
      <c r="B40" s="9" t="s">
        <v>95</v>
      </c>
      <c r="C40" s="9" t="s">
        <v>36</v>
      </c>
      <c r="D40" s="10" t="e">
        <f>VLOOKUP('2026 EOM and Scores'!$C40,'[1]Lists (Ignore)'!$N:$O,2,FALSE)</f>
        <v>#N/A</v>
      </c>
      <c r="E40" s="10" t="s">
        <v>20</v>
      </c>
      <c r="F40" s="11" t="s">
        <v>679</v>
      </c>
      <c r="G40" s="2" t="s">
        <v>32</v>
      </c>
      <c r="H40" s="2" t="s">
        <v>22</v>
      </c>
      <c r="I40" s="2" t="s">
        <v>23</v>
      </c>
      <c r="J40" s="2">
        <v>10</v>
      </c>
      <c r="K40" s="2" t="s">
        <v>23</v>
      </c>
      <c r="L40" s="2" t="s">
        <v>24</v>
      </c>
      <c r="M40" s="2" t="s">
        <v>24</v>
      </c>
      <c r="N40" s="2" t="s">
        <v>24</v>
      </c>
      <c r="O40" s="2" t="s">
        <v>24</v>
      </c>
      <c r="P40" s="2" t="s">
        <v>24</v>
      </c>
      <c r="Q40" s="2" t="s">
        <v>24</v>
      </c>
      <c r="R40" s="2"/>
      <c r="S40" s="2">
        <v>21</v>
      </c>
      <c r="T40" s="2">
        <v>12</v>
      </c>
      <c r="U40" s="2"/>
      <c r="V40" s="2"/>
      <c r="W40" s="2"/>
      <c r="X40" s="2"/>
      <c r="Y40" s="2"/>
      <c r="Z40" s="2"/>
      <c r="AA40" s="2"/>
      <c r="AB40" s="2"/>
      <c r="AC40" s="2" t="s">
        <v>25</v>
      </c>
      <c r="AD40" s="2" t="s">
        <v>25</v>
      </c>
      <c r="AE40" s="2"/>
      <c r="AF40" s="2"/>
      <c r="AG40" s="2"/>
      <c r="AH40" s="2"/>
      <c r="AI40" s="2"/>
      <c r="AJ40" s="2"/>
      <c r="AK40" s="2"/>
    </row>
    <row r="41" spans="2:37" ht="15.75" customHeight="1" x14ac:dyDescent="0.35">
      <c r="B41" s="9" t="s">
        <v>96</v>
      </c>
      <c r="C41" s="9" t="s">
        <v>97</v>
      </c>
      <c r="D41" s="10" t="e">
        <f>VLOOKUP('2026 EOM and Scores'!$C41,'[1]Lists (Ignore)'!$N:$O,2,FALSE)</f>
        <v>#N/A</v>
      </c>
      <c r="E41" s="10" t="s">
        <v>47</v>
      </c>
      <c r="F41" s="11" t="s">
        <v>679</v>
      </c>
      <c r="G41" s="2" t="s">
        <v>32</v>
      </c>
      <c r="H41" s="2" t="s">
        <v>22</v>
      </c>
      <c r="I41" s="2" t="s">
        <v>23</v>
      </c>
      <c r="J41" s="2">
        <v>10</v>
      </c>
      <c r="K41" s="2" t="s">
        <v>23</v>
      </c>
      <c r="L41" s="2" t="s">
        <v>24</v>
      </c>
      <c r="M41" s="2" t="s">
        <v>24</v>
      </c>
      <c r="N41" s="2" t="s">
        <v>24</v>
      </c>
      <c r="O41" s="2" t="s">
        <v>24</v>
      </c>
      <c r="P41" s="2" t="s">
        <v>24</v>
      </c>
      <c r="Q41" s="2" t="s">
        <v>24</v>
      </c>
      <c r="R41" s="2"/>
      <c r="S41" s="2">
        <v>24</v>
      </c>
      <c r="T41" s="2" t="s">
        <v>23</v>
      </c>
      <c r="U41" s="2"/>
      <c r="V41" s="2"/>
      <c r="W41" s="2"/>
      <c r="X41" s="2"/>
      <c r="Y41" s="2"/>
      <c r="Z41" s="2"/>
      <c r="AA41" s="2"/>
      <c r="AB41" s="2"/>
      <c r="AC41" s="2" t="s">
        <v>25</v>
      </c>
      <c r="AD41" s="2" t="s">
        <v>25</v>
      </c>
      <c r="AE41" s="2"/>
      <c r="AF41" s="2"/>
      <c r="AG41" s="2"/>
      <c r="AH41" s="2"/>
      <c r="AI41" s="2"/>
      <c r="AJ41" s="2"/>
      <c r="AK41" s="2"/>
    </row>
    <row r="42" spans="2:37" ht="15.75" customHeight="1" x14ac:dyDescent="0.35">
      <c r="B42" s="9" t="s">
        <v>98</v>
      </c>
      <c r="C42" s="9" t="s">
        <v>85</v>
      </c>
      <c r="D42" s="10" t="e">
        <f>VLOOKUP('2026 EOM and Scores'!$C42,'[1]Lists (Ignore)'!$N:$O,2,FALSE)</f>
        <v>#N/A</v>
      </c>
      <c r="E42" s="10" t="s">
        <v>20</v>
      </c>
      <c r="F42" s="11" t="s">
        <v>679</v>
      </c>
      <c r="G42" s="2" t="s">
        <v>32</v>
      </c>
      <c r="H42" s="2" t="s">
        <v>22</v>
      </c>
      <c r="I42" s="2" t="s">
        <v>23</v>
      </c>
      <c r="J42" s="2" t="s">
        <v>23</v>
      </c>
      <c r="K42" s="2" t="s">
        <v>23</v>
      </c>
      <c r="L42" s="2"/>
      <c r="M42" s="2"/>
      <c r="N42" s="2"/>
      <c r="O42" s="2"/>
      <c r="P42" s="2"/>
      <c r="Q42" s="2"/>
      <c r="R42" s="2"/>
      <c r="S42" s="2" t="s">
        <v>23</v>
      </c>
      <c r="T42" s="2" t="s">
        <v>23</v>
      </c>
      <c r="U42" s="2"/>
      <c r="V42" s="2"/>
      <c r="W42" s="2"/>
      <c r="X42" s="2"/>
      <c r="Y42" s="2"/>
      <c r="Z42" s="2"/>
      <c r="AA42" s="2"/>
      <c r="AB42" s="2"/>
      <c r="AC42" s="2" t="s">
        <v>28</v>
      </c>
      <c r="AD42" s="2" t="s">
        <v>28</v>
      </c>
      <c r="AE42" s="2"/>
      <c r="AF42" s="2"/>
      <c r="AG42" s="2"/>
      <c r="AH42" s="2"/>
      <c r="AI42" s="2"/>
      <c r="AJ42" s="2"/>
      <c r="AK42" s="2"/>
    </row>
    <row r="43" spans="2:37" ht="15.75" customHeight="1" x14ac:dyDescent="0.35">
      <c r="B43" s="9" t="s">
        <v>99</v>
      </c>
      <c r="C43" s="9" t="s">
        <v>100</v>
      </c>
      <c r="D43" s="10" t="e">
        <f>VLOOKUP('2026 EOM and Scores'!$C43,'[1]Lists (Ignore)'!$N:$O,2,FALSE)</f>
        <v>#N/A</v>
      </c>
      <c r="E43" s="10" t="s">
        <v>101</v>
      </c>
      <c r="F43" s="11" t="s">
        <v>679</v>
      </c>
      <c r="G43" s="2" t="s">
        <v>32</v>
      </c>
      <c r="H43" s="2" t="s">
        <v>32</v>
      </c>
      <c r="I43" s="2">
        <v>8</v>
      </c>
      <c r="J43" s="2" t="s">
        <v>23</v>
      </c>
      <c r="K43" s="2" t="s">
        <v>23</v>
      </c>
      <c r="L43" s="2"/>
      <c r="M43" s="2"/>
      <c r="N43" s="2"/>
      <c r="O43" s="2"/>
      <c r="P43" s="2"/>
      <c r="Q43" s="2"/>
      <c r="R43" s="2"/>
      <c r="S43" s="2" t="s">
        <v>23</v>
      </c>
      <c r="T43" s="2">
        <v>5</v>
      </c>
      <c r="U43" s="2"/>
      <c r="V43" s="2"/>
      <c r="W43" s="2"/>
      <c r="X43" s="2"/>
      <c r="Y43" s="2"/>
      <c r="Z43" s="2"/>
      <c r="AA43" s="2"/>
      <c r="AB43" s="2"/>
      <c r="AC43" s="2" t="s">
        <v>28</v>
      </c>
      <c r="AD43" s="2" t="s">
        <v>28</v>
      </c>
      <c r="AE43" s="2"/>
      <c r="AF43" s="2"/>
      <c r="AG43" s="2"/>
      <c r="AH43" s="2"/>
      <c r="AI43" s="2"/>
      <c r="AJ43" s="2"/>
      <c r="AK43" s="2"/>
    </row>
    <row r="44" spans="2:37" ht="15.75" customHeight="1" x14ac:dyDescent="0.35">
      <c r="B44" s="9" t="s">
        <v>102</v>
      </c>
      <c r="C44" s="9" t="s">
        <v>70</v>
      </c>
      <c r="D44" s="10" t="e">
        <f>VLOOKUP('2026 EOM and Scores'!$C44,'[1]Lists (Ignore)'!$N:$O,2,FALSE)</f>
        <v>#N/A</v>
      </c>
      <c r="E44" s="10" t="s">
        <v>20</v>
      </c>
      <c r="F44" s="11" t="s">
        <v>679</v>
      </c>
      <c r="G44" s="2" t="s">
        <v>32</v>
      </c>
      <c r="H44" s="2" t="s">
        <v>22</v>
      </c>
      <c r="I44" s="2" t="s">
        <v>23</v>
      </c>
      <c r="J44" s="2">
        <v>10</v>
      </c>
      <c r="K44" s="2">
        <v>11</v>
      </c>
      <c r="L44" s="2"/>
      <c r="M44" s="2"/>
      <c r="N44" s="2"/>
      <c r="O44" s="2"/>
      <c r="P44" s="2"/>
      <c r="Q44" s="2"/>
      <c r="R44" s="2"/>
      <c r="S44" s="2">
        <v>22</v>
      </c>
      <c r="T44" s="2">
        <v>13</v>
      </c>
      <c r="U44" s="2"/>
      <c r="V44" s="2"/>
      <c r="W44" s="2"/>
      <c r="X44" s="2"/>
      <c r="Y44" s="2"/>
      <c r="Z44" s="2"/>
      <c r="AA44" s="2"/>
      <c r="AB44" s="2"/>
      <c r="AC44" s="2" t="s">
        <v>29</v>
      </c>
      <c r="AD44" s="2" t="s">
        <v>25</v>
      </c>
      <c r="AE44" s="2"/>
      <c r="AF44" s="2"/>
      <c r="AG44" s="2"/>
      <c r="AH44" s="2"/>
      <c r="AI44" s="2"/>
      <c r="AJ44" s="2"/>
      <c r="AK44" s="2"/>
    </row>
    <row r="45" spans="2:37" ht="15.75" customHeight="1" x14ac:dyDescent="0.35">
      <c r="B45" s="9" t="s">
        <v>103</v>
      </c>
      <c r="C45" s="9" t="s">
        <v>104</v>
      </c>
      <c r="D45" s="10" t="e">
        <f>VLOOKUP('2026 EOM and Scores'!$C45,'[1]Lists (Ignore)'!$N:$O,2,FALSE)</f>
        <v>#N/A</v>
      </c>
      <c r="E45" s="10" t="s">
        <v>20</v>
      </c>
      <c r="F45" s="11" t="s">
        <v>679</v>
      </c>
      <c r="G45" s="2" t="s">
        <v>32</v>
      </c>
      <c r="H45" s="2" t="s">
        <v>32</v>
      </c>
      <c r="I45" s="2">
        <v>10</v>
      </c>
      <c r="J45" s="2">
        <v>11</v>
      </c>
      <c r="K45" s="2">
        <v>12</v>
      </c>
      <c r="L45" s="2" t="s">
        <v>24</v>
      </c>
      <c r="M45" s="2" t="s">
        <v>24</v>
      </c>
      <c r="N45" s="2" t="s">
        <v>24</v>
      </c>
      <c r="O45" s="2" t="s">
        <v>24</v>
      </c>
      <c r="P45" s="2" t="s">
        <v>24</v>
      </c>
      <c r="Q45" s="2" t="s">
        <v>24</v>
      </c>
      <c r="R45" s="2"/>
      <c r="S45" s="2">
        <v>23</v>
      </c>
      <c r="T45" s="2">
        <v>14</v>
      </c>
      <c r="U45" s="2"/>
      <c r="V45" s="2"/>
      <c r="W45" s="2"/>
      <c r="X45" s="2"/>
      <c r="Y45" s="2"/>
      <c r="Z45" s="2"/>
      <c r="AA45" s="2"/>
      <c r="AB45" s="2"/>
      <c r="AC45" s="2" t="s">
        <v>28</v>
      </c>
      <c r="AD45" s="2" t="s">
        <v>48</v>
      </c>
      <c r="AE45" s="2"/>
      <c r="AF45" s="2"/>
      <c r="AG45" s="2"/>
      <c r="AH45" s="2"/>
      <c r="AI45" s="2"/>
      <c r="AJ45" s="2"/>
      <c r="AK45" s="2"/>
    </row>
    <row r="46" spans="2:37" ht="15.75" customHeight="1" x14ac:dyDescent="0.35">
      <c r="B46" s="9" t="s">
        <v>105</v>
      </c>
      <c r="C46" s="9" t="s">
        <v>106</v>
      </c>
      <c r="D46" s="10" t="e">
        <f>VLOOKUP('2026 EOM and Scores'!$C46,'[1]Lists (Ignore)'!$N:$O,2,FALSE)</f>
        <v>#N/A</v>
      </c>
      <c r="E46" s="10" t="s">
        <v>20</v>
      </c>
      <c r="F46" s="11" t="s">
        <v>679</v>
      </c>
      <c r="G46" s="2" t="s">
        <v>32</v>
      </c>
      <c r="H46" s="2" t="s">
        <v>22</v>
      </c>
      <c r="I46" s="2">
        <v>8</v>
      </c>
      <c r="J46" s="2">
        <v>10</v>
      </c>
      <c r="K46" s="2" t="s">
        <v>23</v>
      </c>
      <c r="L46" s="2" t="s">
        <v>24</v>
      </c>
      <c r="M46" s="2" t="s">
        <v>24</v>
      </c>
      <c r="N46" s="2" t="s">
        <v>24</v>
      </c>
      <c r="O46" s="2" t="s">
        <v>24</v>
      </c>
      <c r="P46" s="2" t="s">
        <v>24</v>
      </c>
      <c r="Q46" s="2" t="s">
        <v>24</v>
      </c>
      <c r="R46" s="2"/>
      <c r="S46" s="2">
        <v>18</v>
      </c>
      <c r="T46" s="2" t="s">
        <v>23</v>
      </c>
      <c r="U46" s="2"/>
      <c r="V46" s="2"/>
      <c r="W46" s="2"/>
      <c r="X46" s="2"/>
      <c r="Y46" s="2"/>
      <c r="Z46" s="2"/>
      <c r="AA46" s="2"/>
      <c r="AB46" s="2"/>
      <c r="AC46" s="2" t="s">
        <v>29</v>
      </c>
      <c r="AD46" s="2" t="s">
        <v>29</v>
      </c>
      <c r="AE46" s="2" t="s">
        <v>28</v>
      </c>
      <c r="AF46" s="2"/>
      <c r="AG46" s="2"/>
      <c r="AH46" s="2"/>
      <c r="AI46" s="2"/>
      <c r="AJ46" s="2"/>
      <c r="AK46" s="2"/>
    </row>
    <row r="47" spans="2:37" ht="15.75" customHeight="1" x14ac:dyDescent="0.35">
      <c r="B47" s="9" t="s">
        <v>107</v>
      </c>
      <c r="C47" s="9" t="s">
        <v>108</v>
      </c>
      <c r="D47" s="10" t="e">
        <f>VLOOKUP('2026 EOM and Scores'!$C47,'[1]Lists (Ignore)'!$N:$O,2,FALSE)</f>
        <v>#N/A</v>
      </c>
      <c r="E47" s="10" t="s">
        <v>20</v>
      </c>
      <c r="F47" s="11" t="s">
        <v>679</v>
      </c>
      <c r="G47" s="2" t="s">
        <v>32</v>
      </c>
      <c r="H47" s="2" t="s">
        <v>22</v>
      </c>
      <c r="I47" s="2" t="s">
        <v>23</v>
      </c>
      <c r="J47" s="2">
        <v>10</v>
      </c>
      <c r="K47" s="2" t="s">
        <v>23</v>
      </c>
      <c r="L47" s="2">
        <v>9</v>
      </c>
      <c r="M47" s="2" t="s">
        <v>24</v>
      </c>
      <c r="N47" s="2" t="s">
        <v>24</v>
      </c>
      <c r="O47" s="2" t="s">
        <v>24</v>
      </c>
      <c r="P47" s="2" t="s">
        <v>24</v>
      </c>
      <c r="Q47" s="2" t="s">
        <v>24</v>
      </c>
      <c r="R47" s="2"/>
      <c r="S47" s="2">
        <v>24</v>
      </c>
      <c r="T47" s="2" t="s">
        <v>23</v>
      </c>
      <c r="U47" s="2">
        <v>14</v>
      </c>
      <c r="V47" s="2"/>
      <c r="W47" s="2"/>
      <c r="X47" s="2"/>
      <c r="Y47" s="2"/>
      <c r="Z47" s="2"/>
      <c r="AA47" s="2"/>
      <c r="AB47" s="2"/>
      <c r="AC47" s="2" t="s">
        <v>48</v>
      </c>
      <c r="AD47" s="2" t="s">
        <v>48</v>
      </c>
      <c r="AE47" s="2"/>
      <c r="AF47" s="2"/>
      <c r="AG47" s="2"/>
      <c r="AH47" s="2"/>
      <c r="AI47" s="2"/>
      <c r="AJ47" s="2"/>
      <c r="AK47" s="2"/>
    </row>
    <row r="48" spans="2:37" ht="15.75" customHeight="1" x14ac:dyDescent="0.35">
      <c r="B48" s="9" t="s">
        <v>109</v>
      </c>
      <c r="C48" s="9" t="s">
        <v>110</v>
      </c>
      <c r="D48" s="10" t="e">
        <f>VLOOKUP('2026 EOM and Scores'!$C48,'[1]Lists (Ignore)'!$N:$O,2,FALSE)</f>
        <v>#N/A</v>
      </c>
      <c r="E48" s="10" t="s">
        <v>20</v>
      </c>
      <c r="F48" s="11" t="s">
        <v>679</v>
      </c>
      <c r="G48" s="2" t="s">
        <v>32</v>
      </c>
      <c r="H48" s="2" t="s">
        <v>22</v>
      </c>
      <c r="I48" s="2">
        <v>6</v>
      </c>
      <c r="J48" s="2">
        <v>7</v>
      </c>
      <c r="K48" s="2">
        <v>12</v>
      </c>
      <c r="L48" s="2" t="s">
        <v>24</v>
      </c>
      <c r="M48" s="2" t="s">
        <v>24</v>
      </c>
      <c r="N48" s="2" t="s">
        <v>24</v>
      </c>
      <c r="O48" s="2" t="s">
        <v>24</v>
      </c>
      <c r="P48" s="2" t="s">
        <v>24</v>
      </c>
      <c r="Q48" s="2" t="s">
        <v>24</v>
      </c>
      <c r="R48" s="2"/>
      <c r="S48" s="2">
        <v>19</v>
      </c>
      <c r="T48" s="2">
        <v>10</v>
      </c>
      <c r="U48" s="2"/>
      <c r="V48" s="2"/>
      <c r="W48" s="2"/>
      <c r="X48" s="2"/>
      <c r="Y48" s="2"/>
      <c r="Z48" s="2"/>
      <c r="AA48" s="2"/>
      <c r="AB48" s="2"/>
      <c r="AC48" s="2" t="s">
        <v>48</v>
      </c>
      <c r="AD48" s="2" t="s">
        <v>48</v>
      </c>
      <c r="AE48" s="2"/>
      <c r="AF48" s="2"/>
      <c r="AG48" s="2"/>
      <c r="AH48" s="2"/>
      <c r="AI48" s="2"/>
      <c r="AJ48" s="2"/>
      <c r="AK48" s="2"/>
    </row>
    <row r="49" spans="1:38" ht="15.75" customHeight="1" x14ac:dyDescent="0.35">
      <c r="B49" s="9" t="s">
        <v>111</v>
      </c>
      <c r="C49" s="9" t="s">
        <v>112</v>
      </c>
      <c r="D49" s="10" t="e">
        <f>VLOOKUP('2026 EOM and Scores'!$C49,'[1]Lists (Ignore)'!$N:$O,2,FALSE)</f>
        <v>#N/A</v>
      </c>
      <c r="E49" s="10" t="s">
        <v>41</v>
      </c>
      <c r="F49" s="11" t="s">
        <v>679</v>
      </c>
      <c r="G49" s="2" t="s">
        <v>22</v>
      </c>
      <c r="H49" s="2" t="s">
        <v>22</v>
      </c>
      <c r="I49" s="2">
        <v>8</v>
      </c>
      <c r="J49" s="2">
        <v>8</v>
      </c>
      <c r="K49" s="2">
        <v>12</v>
      </c>
      <c r="L49" s="2" t="s">
        <v>24</v>
      </c>
      <c r="M49" s="2" t="s">
        <v>24</v>
      </c>
      <c r="N49" s="2" t="s">
        <v>24</v>
      </c>
      <c r="O49" s="2" t="s">
        <v>24</v>
      </c>
      <c r="P49" s="2" t="s">
        <v>24</v>
      </c>
      <c r="Q49" s="2" t="s">
        <v>24</v>
      </c>
      <c r="R49" s="2"/>
      <c r="S49" s="2">
        <v>16</v>
      </c>
      <c r="T49" s="2">
        <v>11</v>
      </c>
      <c r="U49" s="2"/>
      <c r="V49" s="2"/>
      <c r="W49" s="2"/>
      <c r="X49" s="2"/>
      <c r="Y49" s="2"/>
      <c r="Z49" s="2"/>
      <c r="AA49" s="2"/>
      <c r="AB49" s="2"/>
      <c r="AC49" s="2" t="s">
        <v>48</v>
      </c>
      <c r="AD49" s="2" t="s">
        <v>48</v>
      </c>
      <c r="AE49" s="2"/>
      <c r="AF49" s="2"/>
      <c r="AG49" s="2"/>
      <c r="AH49" s="2"/>
      <c r="AI49" s="2"/>
      <c r="AJ49" s="2"/>
      <c r="AK49" s="2"/>
    </row>
    <row r="50" spans="1:38" ht="15.75" customHeight="1" x14ac:dyDescent="0.35">
      <c r="B50" s="9" t="s">
        <v>113</v>
      </c>
      <c r="C50" s="9" t="s">
        <v>114</v>
      </c>
      <c r="D50" s="10" t="e">
        <f>VLOOKUP('2026 EOM and Scores'!$C50,'[1]Lists (Ignore)'!$N:$O,2,FALSE)</f>
        <v>#N/A</v>
      </c>
      <c r="E50" s="10" t="s">
        <v>20</v>
      </c>
      <c r="F50" s="11" t="s">
        <v>679</v>
      </c>
      <c r="G50" s="2" t="s">
        <v>21</v>
      </c>
      <c r="H50" s="2" t="s">
        <v>22</v>
      </c>
      <c r="I50" s="2">
        <v>11</v>
      </c>
      <c r="J50" s="2">
        <v>11</v>
      </c>
      <c r="K50" s="2">
        <v>11</v>
      </c>
      <c r="L50" s="2">
        <v>12</v>
      </c>
      <c r="M50" s="2" t="s">
        <v>24</v>
      </c>
      <c r="N50" s="2" t="s">
        <v>24</v>
      </c>
      <c r="O50" s="2" t="s">
        <v>24</v>
      </c>
      <c r="P50" s="2" t="s">
        <v>24</v>
      </c>
      <c r="Q50" s="2" t="s">
        <v>24</v>
      </c>
      <c r="R50" s="2"/>
      <c r="S50" s="2">
        <v>25</v>
      </c>
      <c r="T50" s="2">
        <v>13</v>
      </c>
      <c r="U50" s="2">
        <v>14</v>
      </c>
      <c r="V50" s="2"/>
      <c r="W50" s="2"/>
      <c r="X50" s="2"/>
      <c r="Y50" s="2"/>
      <c r="Z50" s="2"/>
      <c r="AA50" s="2"/>
      <c r="AB50" s="2"/>
      <c r="AC50" s="2" t="s">
        <v>25</v>
      </c>
      <c r="AD50" s="2" t="s">
        <v>25</v>
      </c>
      <c r="AE50" s="2"/>
      <c r="AF50" s="2"/>
      <c r="AG50" s="2"/>
      <c r="AH50" s="2"/>
      <c r="AI50" s="2"/>
      <c r="AJ50" s="2"/>
      <c r="AK50" s="2"/>
    </row>
    <row r="51" spans="1:38" ht="15.75" customHeight="1" x14ac:dyDescent="0.35">
      <c r="B51" s="9" t="s">
        <v>115</v>
      </c>
      <c r="C51" s="9" t="s">
        <v>116</v>
      </c>
      <c r="D51" s="10" t="e">
        <f>VLOOKUP('2026 EOM and Scores'!$C51,'[1]Lists (Ignore)'!$N:$O,2,FALSE)</f>
        <v>#N/A</v>
      </c>
      <c r="E51" s="10" t="s">
        <v>20</v>
      </c>
      <c r="F51" s="11" t="s">
        <v>679</v>
      </c>
      <c r="G51" s="2" t="s">
        <v>32</v>
      </c>
      <c r="H51" s="2" t="s">
        <v>22</v>
      </c>
      <c r="I51" s="2">
        <v>1</v>
      </c>
      <c r="J51" s="2">
        <v>9</v>
      </c>
      <c r="K51" s="2" t="s">
        <v>23</v>
      </c>
      <c r="L51" s="2"/>
      <c r="M51" s="2"/>
      <c r="N51" s="2"/>
      <c r="O51" s="2"/>
      <c r="P51" s="2"/>
      <c r="Q51" s="2"/>
      <c r="R51" s="2"/>
      <c r="S51" s="2">
        <v>24</v>
      </c>
      <c r="T51" s="2" t="s">
        <v>23</v>
      </c>
      <c r="U51" s="2"/>
      <c r="V51" s="2"/>
      <c r="W51" s="2"/>
      <c r="X51" s="2"/>
      <c r="Y51" s="2"/>
      <c r="Z51" s="2"/>
      <c r="AA51" s="2"/>
      <c r="AB51" s="2"/>
      <c r="AC51" s="2" t="s">
        <v>48</v>
      </c>
      <c r="AD51" s="2" t="s">
        <v>48</v>
      </c>
      <c r="AE51" s="2"/>
      <c r="AF51" s="2"/>
      <c r="AG51" s="2"/>
      <c r="AH51" s="2"/>
      <c r="AI51" s="2"/>
      <c r="AJ51" s="2"/>
      <c r="AK51" s="2"/>
    </row>
    <row r="52" spans="1:38" ht="15.75" customHeight="1" x14ac:dyDescent="0.35">
      <c r="B52" s="9" t="s">
        <v>117</v>
      </c>
      <c r="C52" s="9" t="s">
        <v>118</v>
      </c>
      <c r="D52" s="10" t="e">
        <f>VLOOKUP('2026 EOM and Scores'!$C52,'[1]Lists (Ignore)'!$N:$O,2,FALSE)</f>
        <v>#N/A</v>
      </c>
      <c r="E52" s="10" t="s">
        <v>20</v>
      </c>
      <c r="F52" s="11" t="s">
        <v>679</v>
      </c>
      <c r="G52" s="2" t="s">
        <v>32</v>
      </c>
      <c r="H52" s="2" t="s">
        <v>22</v>
      </c>
      <c r="I52" s="2">
        <v>10</v>
      </c>
      <c r="J52" s="2" t="s">
        <v>23</v>
      </c>
      <c r="K52" s="2" t="s">
        <v>23</v>
      </c>
      <c r="L52" s="2"/>
      <c r="M52" s="2"/>
      <c r="N52" s="2"/>
      <c r="O52" s="2"/>
      <c r="P52" s="2"/>
      <c r="Q52" s="2"/>
      <c r="R52" s="2"/>
      <c r="S52" s="2" t="s">
        <v>23</v>
      </c>
      <c r="T52" s="2" t="s">
        <v>23</v>
      </c>
      <c r="U52" s="2"/>
      <c r="V52" s="2"/>
      <c r="W52" s="2"/>
      <c r="X52" s="2"/>
      <c r="Y52" s="2"/>
      <c r="Z52" s="2"/>
      <c r="AA52" s="2"/>
      <c r="AB52" s="2"/>
      <c r="AC52" s="2" t="s">
        <v>29</v>
      </c>
      <c r="AD52" s="2" t="s">
        <v>25</v>
      </c>
      <c r="AE52" s="2"/>
      <c r="AF52" s="2"/>
      <c r="AG52" s="2"/>
      <c r="AH52" s="2"/>
      <c r="AI52" s="2"/>
      <c r="AJ52" s="2"/>
      <c r="AK52" s="2"/>
    </row>
    <row r="53" spans="1:38" ht="15.75" customHeight="1" x14ac:dyDescent="0.35">
      <c r="B53" s="9" t="s">
        <v>119</v>
      </c>
      <c r="C53" s="9" t="s">
        <v>106</v>
      </c>
      <c r="D53" s="10" t="e">
        <f>VLOOKUP('2026 EOM and Scores'!$C53,'[1]Lists (Ignore)'!$N:$O,2,FALSE)</f>
        <v>#N/A</v>
      </c>
      <c r="E53" s="10" t="s">
        <v>20</v>
      </c>
      <c r="F53" s="11" t="s">
        <v>679</v>
      </c>
      <c r="G53" s="2" t="s">
        <v>32</v>
      </c>
      <c r="H53" s="2" t="s">
        <v>32</v>
      </c>
      <c r="I53" s="2">
        <v>8</v>
      </c>
      <c r="J53" s="2" t="s">
        <v>23</v>
      </c>
      <c r="K53" s="2" t="s">
        <v>23</v>
      </c>
      <c r="L53" s="2">
        <v>7</v>
      </c>
      <c r="M53" s="2" t="s">
        <v>24</v>
      </c>
      <c r="N53" s="2" t="s">
        <v>24</v>
      </c>
      <c r="O53" s="2" t="s">
        <v>24</v>
      </c>
      <c r="P53" s="2" t="s">
        <v>24</v>
      </c>
      <c r="Q53" s="2" t="s">
        <v>24</v>
      </c>
      <c r="R53" s="2"/>
      <c r="S53" s="2">
        <v>12</v>
      </c>
      <c r="T53" s="2">
        <v>9</v>
      </c>
      <c r="U53" s="2">
        <v>7</v>
      </c>
      <c r="V53" s="2"/>
      <c r="W53" s="2"/>
      <c r="X53" s="2"/>
      <c r="Y53" s="2"/>
      <c r="Z53" s="2"/>
      <c r="AA53" s="2"/>
      <c r="AB53" s="2"/>
      <c r="AC53" s="2" t="s">
        <v>29</v>
      </c>
      <c r="AD53" s="2" t="s">
        <v>28</v>
      </c>
      <c r="AE53" s="2" t="s">
        <v>28</v>
      </c>
      <c r="AF53" s="2"/>
      <c r="AG53" s="2"/>
      <c r="AH53" s="2"/>
      <c r="AI53" s="2"/>
      <c r="AJ53" s="2"/>
      <c r="AK53" s="2"/>
    </row>
    <row r="54" spans="1:38" ht="15.75" customHeight="1" x14ac:dyDescent="0.35">
      <c r="B54" s="9" t="s">
        <v>120</v>
      </c>
      <c r="C54" s="9" t="s">
        <v>79</v>
      </c>
      <c r="D54" s="10" t="e">
        <f>VLOOKUP('2026 EOM and Scores'!$C54,'[1]Lists (Ignore)'!$N:$O,2,FALSE)</f>
        <v>#N/A</v>
      </c>
      <c r="E54" s="10" t="s">
        <v>20</v>
      </c>
      <c r="F54" s="11" t="s">
        <v>679</v>
      </c>
      <c r="G54" s="2" t="s">
        <v>21</v>
      </c>
      <c r="H54" s="2" t="s">
        <v>22</v>
      </c>
      <c r="I54" s="2" t="s">
        <v>23</v>
      </c>
      <c r="J54" s="2" t="s">
        <v>23</v>
      </c>
      <c r="K54" s="2">
        <v>10</v>
      </c>
      <c r="L54" s="2">
        <v>10</v>
      </c>
      <c r="M54" s="2" t="s">
        <v>24</v>
      </c>
      <c r="N54" s="2" t="s">
        <v>24</v>
      </c>
      <c r="O54" s="2" t="s">
        <v>24</v>
      </c>
      <c r="P54" s="2" t="s">
        <v>24</v>
      </c>
      <c r="Q54" s="2" t="s">
        <v>24</v>
      </c>
      <c r="R54" s="2"/>
      <c r="S54" s="2" t="s">
        <v>23</v>
      </c>
      <c r="T54" s="2">
        <v>12</v>
      </c>
      <c r="U54" s="2">
        <v>14</v>
      </c>
      <c r="V54" s="2"/>
      <c r="W54" s="2"/>
      <c r="X54" s="2"/>
      <c r="Y54" s="2"/>
      <c r="Z54" s="2"/>
      <c r="AA54" s="2"/>
      <c r="AB54" s="2"/>
      <c r="AC54" s="2" t="s">
        <v>25</v>
      </c>
      <c r="AD54" s="2" t="s">
        <v>25</v>
      </c>
      <c r="AE54" s="2"/>
      <c r="AF54" s="2"/>
      <c r="AG54" s="2"/>
      <c r="AH54" s="2"/>
      <c r="AI54" s="2"/>
      <c r="AJ54" s="2"/>
      <c r="AK54" s="2"/>
    </row>
    <row r="55" spans="1:38" ht="15.75" customHeight="1" x14ac:dyDescent="0.35">
      <c r="B55" s="9" t="s">
        <v>121</v>
      </c>
      <c r="C55" s="9" t="s">
        <v>77</v>
      </c>
      <c r="D55" s="10" t="e">
        <f>VLOOKUP('2026 EOM and Scores'!$C55,'[1]Lists (Ignore)'!$N:$O,2,FALSE)</f>
        <v>#N/A</v>
      </c>
      <c r="E55" s="10" t="s">
        <v>47</v>
      </c>
      <c r="F55" s="11" t="s">
        <v>679</v>
      </c>
      <c r="G55" s="2" t="s">
        <v>32</v>
      </c>
      <c r="H55" s="2" t="s">
        <v>32</v>
      </c>
      <c r="I55" s="2">
        <v>9</v>
      </c>
      <c r="J55" s="2">
        <v>11</v>
      </c>
      <c r="K55" s="2" t="s">
        <v>23</v>
      </c>
      <c r="L55" s="2"/>
      <c r="M55" s="2"/>
      <c r="N55" s="2"/>
      <c r="O55" s="2"/>
      <c r="P55" s="2"/>
      <c r="Q55" s="2"/>
      <c r="R55" s="2"/>
      <c r="S55" s="2">
        <v>16</v>
      </c>
      <c r="T55" s="2" t="s">
        <v>23</v>
      </c>
      <c r="U55" s="2"/>
      <c r="V55" s="2"/>
      <c r="W55" s="2"/>
      <c r="X55" s="2"/>
      <c r="Y55" s="2"/>
      <c r="Z55" s="2"/>
      <c r="AA55" s="2"/>
      <c r="AB55" s="2"/>
      <c r="AC55" s="2" t="s">
        <v>48</v>
      </c>
      <c r="AD55" s="2" t="s">
        <v>48</v>
      </c>
      <c r="AE55" s="2"/>
      <c r="AF55" s="2"/>
      <c r="AG55" s="2"/>
      <c r="AH55" s="2"/>
      <c r="AI55" s="2"/>
      <c r="AJ55" s="2"/>
      <c r="AK55" s="2"/>
    </row>
    <row r="56" spans="1:38" ht="15.75" customHeight="1" x14ac:dyDescent="0.35">
      <c r="B56" s="9" t="s">
        <v>122</v>
      </c>
      <c r="C56" s="9" t="s">
        <v>123</v>
      </c>
      <c r="D56" s="10" t="e">
        <f>VLOOKUP('2026 EOM and Scores'!$C56,'[1]Lists (Ignore)'!$N:$O,2,FALSE)</f>
        <v>#N/A</v>
      </c>
      <c r="E56" s="10" t="s">
        <v>41</v>
      </c>
      <c r="F56" s="11" t="s">
        <v>679</v>
      </c>
      <c r="G56" s="2" t="s">
        <v>32</v>
      </c>
      <c r="H56" s="2" t="s">
        <v>22</v>
      </c>
      <c r="I56" s="2">
        <v>10</v>
      </c>
      <c r="J56" s="2" t="s">
        <v>23</v>
      </c>
      <c r="K56" s="2">
        <v>11</v>
      </c>
      <c r="L56" s="2" t="s">
        <v>24</v>
      </c>
      <c r="M56" s="2" t="s">
        <v>24</v>
      </c>
      <c r="N56" s="2" t="s">
        <v>24</v>
      </c>
      <c r="O56" s="2" t="s">
        <v>24</v>
      </c>
      <c r="P56" s="2" t="s">
        <v>24</v>
      </c>
      <c r="Q56" s="2" t="s">
        <v>24</v>
      </c>
      <c r="R56" s="2"/>
      <c r="S56" s="2" t="s">
        <v>23</v>
      </c>
      <c r="T56" s="2">
        <v>8</v>
      </c>
      <c r="U56" s="2"/>
      <c r="V56" s="2"/>
      <c r="W56" s="2"/>
      <c r="X56" s="2"/>
      <c r="Y56" s="2"/>
      <c r="Z56" s="2"/>
      <c r="AA56" s="2"/>
      <c r="AB56" s="2"/>
      <c r="AC56" s="2" t="s">
        <v>28</v>
      </c>
      <c r="AD56" s="2" t="s">
        <v>28</v>
      </c>
      <c r="AE56" s="2"/>
      <c r="AF56" s="2"/>
      <c r="AG56" s="2"/>
      <c r="AH56" s="2"/>
      <c r="AI56" s="2"/>
      <c r="AJ56" s="2"/>
      <c r="AK56" s="2"/>
    </row>
    <row r="57" spans="1:38" ht="15.75" customHeight="1" x14ac:dyDescent="0.35">
      <c r="B57" s="9" t="s">
        <v>124</v>
      </c>
      <c r="C57" s="9" t="s">
        <v>123</v>
      </c>
      <c r="D57" s="10" t="e">
        <f>VLOOKUP('2026 EOM and Scores'!$C57,'[1]Lists (Ignore)'!$N:$O,2,FALSE)</f>
        <v>#N/A</v>
      </c>
      <c r="E57" s="10" t="s">
        <v>47</v>
      </c>
      <c r="F57" s="11" t="s">
        <v>679</v>
      </c>
      <c r="G57" s="2" t="s">
        <v>32</v>
      </c>
      <c r="H57" s="2" t="s">
        <v>22</v>
      </c>
      <c r="I57" s="2">
        <v>10</v>
      </c>
      <c r="J57" s="2" t="s">
        <v>23</v>
      </c>
      <c r="K57" s="2" t="s">
        <v>23</v>
      </c>
      <c r="L57" s="2"/>
      <c r="M57" s="2"/>
      <c r="N57" s="2"/>
      <c r="O57" s="2"/>
      <c r="P57" s="2"/>
      <c r="Q57" s="2"/>
      <c r="R57" s="2"/>
      <c r="S57" s="2" t="s">
        <v>23</v>
      </c>
      <c r="T57" s="2" t="s">
        <v>23</v>
      </c>
      <c r="U57" s="2"/>
      <c r="V57" s="2"/>
      <c r="W57" s="2"/>
      <c r="X57" s="2"/>
      <c r="Y57" s="2"/>
      <c r="Z57" s="2"/>
      <c r="AA57" s="2"/>
      <c r="AB57" s="2"/>
      <c r="AC57" s="2" t="s">
        <v>25</v>
      </c>
      <c r="AD57" s="2" t="s">
        <v>48</v>
      </c>
      <c r="AE57" s="2"/>
      <c r="AF57" s="2"/>
      <c r="AG57" s="2"/>
      <c r="AH57" s="2"/>
      <c r="AI57" s="2"/>
      <c r="AJ57" s="2"/>
      <c r="AK57" s="2"/>
    </row>
    <row r="58" spans="1:38" ht="15.75" customHeight="1" x14ac:dyDescent="0.35">
      <c r="B58" s="9" t="s">
        <v>125</v>
      </c>
      <c r="C58" s="9" t="s">
        <v>126</v>
      </c>
      <c r="D58" s="10" t="e">
        <f>VLOOKUP('2026 EOM and Scores'!$C58,'[1]Lists (Ignore)'!$N:$O,2,FALSE)</f>
        <v>#N/A</v>
      </c>
      <c r="E58" s="10" t="s">
        <v>20</v>
      </c>
      <c r="F58" s="11" t="s">
        <v>679</v>
      </c>
      <c r="G58" s="2" t="s">
        <v>21</v>
      </c>
      <c r="H58" s="2" t="s">
        <v>22</v>
      </c>
      <c r="I58" s="2">
        <v>1</v>
      </c>
      <c r="J58" s="2">
        <v>12</v>
      </c>
      <c r="K58" s="2" t="s">
        <v>23</v>
      </c>
      <c r="L58" s="2"/>
      <c r="M58" s="2"/>
      <c r="N58" s="2"/>
      <c r="O58" s="2"/>
      <c r="P58" s="2"/>
      <c r="Q58" s="2"/>
      <c r="R58" s="2"/>
      <c r="S58" s="2">
        <v>22</v>
      </c>
      <c r="T58" s="2" t="s">
        <v>23</v>
      </c>
      <c r="U58" s="2"/>
      <c r="V58" s="2"/>
      <c r="W58" s="2"/>
      <c r="X58" s="2"/>
      <c r="Y58" s="2"/>
      <c r="Z58" s="2"/>
      <c r="AA58" s="2"/>
      <c r="AB58" s="2"/>
      <c r="AC58" s="2" t="s">
        <v>48</v>
      </c>
      <c r="AD58" s="2" t="s">
        <v>29</v>
      </c>
      <c r="AE58" s="2"/>
      <c r="AF58" s="2"/>
      <c r="AG58" s="2"/>
      <c r="AH58" s="2"/>
      <c r="AI58" s="2"/>
      <c r="AJ58" s="2"/>
      <c r="AK58" s="2"/>
    </row>
    <row r="59" spans="1:38" ht="15.75" customHeight="1" x14ac:dyDescent="0.35">
      <c r="B59" s="9" t="s">
        <v>127</v>
      </c>
      <c r="C59" s="9" t="s">
        <v>36</v>
      </c>
      <c r="D59" s="10" t="e">
        <f>VLOOKUP('2026 EOM and Scores'!$C59,'[1]Lists (Ignore)'!$N:$O,2,FALSE)</f>
        <v>#N/A</v>
      </c>
      <c r="E59" s="10" t="s">
        <v>20</v>
      </c>
      <c r="F59" s="11" t="s">
        <v>679</v>
      </c>
      <c r="G59" s="2" t="s">
        <v>21</v>
      </c>
      <c r="H59" s="2" t="s">
        <v>22</v>
      </c>
      <c r="I59" s="2">
        <v>6</v>
      </c>
      <c r="J59" s="2">
        <v>11</v>
      </c>
      <c r="K59" s="2" t="s">
        <v>23</v>
      </c>
      <c r="L59" s="2"/>
      <c r="M59" s="2"/>
      <c r="N59" s="2"/>
      <c r="O59" s="2"/>
      <c r="P59" s="2"/>
      <c r="Q59" s="2"/>
      <c r="R59" s="2"/>
      <c r="S59" s="2">
        <v>15</v>
      </c>
      <c r="T59" s="2" t="s">
        <v>23</v>
      </c>
      <c r="U59" s="2"/>
      <c r="V59" s="2"/>
      <c r="W59" s="2"/>
      <c r="X59" s="2"/>
      <c r="Y59" s="2"/>
      <c r="Z59" s="2"/>
      <c r="AA59" s="2"/>
      <c r="AB59" s="2"/>
      <c r="AC59" s="2" t="s">
        <v>29</v>
      </c>
      <c r="AD59" s="2" t="s">
        <v>25</v>
      </c>
      <c r="AE59" s="2"/>
      <c r="AF59" s="2"/>
      <c r="AG59" s="2"/>
      <c r="AH59" s="2"/>
      <c r="AI59" s="2"/>
      <c r="AJ59" s="2"/>
      <c r="AK59" s="2"/>
    </row>
    <row r="60" spans="1:38" ht="15.75" customHeight="1" x14ac:dyDescent="0.35">
      <c r="B60" s="9" t="s">
        <v>128</v>
      </c>
      <c r="C60" s="9" t="s">
        <v>126</v>
      </c>
      <c r="D60" s="10" t="e">
        <f>VLOOKUP('2026 EOM and Scores'!$C60,'[1]Lists (Ignore)'!$N:$O,2,FALSE)</f>
        <v>#N/A</v>
      </c>
      <c r="E60" s="10" t="s">
        <v>20</v>
      </c>
      <c r="F60" s="11" t="s">
        <v>679</v>
      </c>
      <c r="G60" s="2" t="s">
        <v>21</v>
      </c>
      <c r="H60" s="2" t="s">
        <v>22</v>
      </c>
      <c r="I60" s="2">
        <v>4</v>
      </c>
      <c r="J60" s="2" t="s">
        <v>23</v>
      </c>
      <c r="K60" s="2">
        <v>4</v>
      </c>
      <c r="L60" s="2"/>
      <c r="M60" s="2"/>
      <c r="N60" s="2"/>
      <c r="O60" s="2"/>
      <c r="P60" s="2"/>
      <c r="Q60" s="2"/>
      <c r="R60" s="2"/>
      <c r="S60" s="2" t="s">
        <v>23</v>
      </c>
      <c r="T60" s="2">
        <v>7</v>
      </c>
      <c r="U60" s="2"/>
      <c r="V60" s="2"/>
      <c r="W60" s="2"/>
      <c r="X60" s="2"/>
      <c r="Y60" s="2"/>
      <c r="Z60" s="2"/>
      <c r="AA60" s="2"/>
      <c r="AB60" s="2"/>
      <c r="AC60" s="2" t="s">
        <v>48</v>
      </c>
      <c r="AD60" s="2" t="s">
        <v>29</v>
      </c>
      <c r="AE60" s="2"/>
      <c r="AF60" s="2"/>
      <c r="AG60" s="2"/>
      <c r="AH60" s="2"/>
      <c r="AI60" s="2"/>
      <c r="AJ60" s="2"/>
      <c r="AK60" s="2"/>
    </row>
    <row r="61" spans="1:38" ht="15.75" customHeight="1" x14ac:dyDescent="0.35">
      <c r="B61" s="9" t="s">
        <v>129</v>
      </c>
      <c r="C61" s="9" t="s">
        <v>40</v>
      </c>
      <c r="D61" s="10" t="e">
        <f>VLOOKUP('2026 EOM and Scores'!$C61,'[1]Lists (Ignore)'!$N:$O,2,FALSE)</f>
        <v>#N/A</v>
      </c>
      <c r="E61" s="10" t="s">
        <v>41</v>
      </c>
      <c r="F61" s="11" t="s">
        <v>679</v>
      </c>
      <c r="G61" s="2" t="s">
        <v>21</v>
      </c>
      <c r="H61" s="2" t="s">
        <v>22</v>
      </c>
      <c r="I61" s="2">
        <v>9</v>
      </c>
      <c r="J61" s="2">
        <v>8</v>
      </c>
      <c r="K61" s="2" t="s">
        <v>23</v>
      </c>
      <c r="L61" s="2" t="s">
        <v>24</v>
      </c>
      <c r="M61" s="2" t="s">
        <v>24</v>
      </c>
      <c r="N61" s="2" t="s">
        <v>24</v>
      </c>
      <c r="O61" s="2" t="s">
        <v>24</v>
      </c>
      <c r="P61" s="2" t="s">
        <v>24</v>
      </c>
      <c r="Q61" s="2" t="s">
        <v>24</v>
      </c>
      <c r="R61" s="2"/>
      <c r="S61" s="2">
        <v>20</v>
      </c>
      <c r="T61" s="2" t="s">
        <v>23</v>
      </c>
      <c r="U61" s="2"/>
      <c r="V61" s="2"/>
      <c r="W61" s="2"/>
      <c r="X61" s="2"/>
      <c r="Y61" s="2"/>
      <c r="Z61" s="2"/>
      <c r="AA61" s="2"/>
      <c r="AB61" s="2"/>
      <c r="AC61" s="2" t="s">
        <v>25</v>
      </c>
      <c r="AD61" s="2" t="s">
        <v>48</v>
      </c>
      <c r="AE61" s="2"/>
      <c r="AF61" s="2"/>
      <c r="AG61" s="2"/>
      <c r="AH61" s="2"/>
      <c r="AI61" s="2"/>
      <c r="AJ61" s="2"/>
      <c r="AK61" s="2"/>
    </row>
    <row r="62" spans="1:38" ht="15.75" customHeight="1" x14ac:dyDescent="0.35">
      <c r="A62" s="1"/>
      <c r="B62" s="9" t="s">
        <v>130</v>
      </c>
      <c r="C62" s="9" t="s">
        <v>70</v>
      </c>
      <c r="D62" s="10" t="e">
        <f>VLOOKUP('2026 EOM and Scores'!$C62,'[1]Lists (Ignore)'!$N:$O,2,FALSE)</f>
        <v>#N/A</v>
      </c>
      <c r="E62" s="10" t="s">
        <v>20</v>
      </c>
      <c r="F62" s="11" t="s">
        <v>679</v>
      </c>
      <c r="G62" s="2" t="s">
        <v>21</v>
      </c>
      <c r="H62" s="2" t="s">
        <v>22</v>
      </c>
      <c r="I62" s="2">
        <v>7</v>
      </c>
      <c r="J62" s="2">
        <v>11</v>
      </c>
      <c r="K62" s="2">
        <v>11</v>
      </c>
      <c r="L62" s="2" t="s">
        <v>24</v>
      </c>
      <c r="M62" s="2" t="s">
        <v>24</v>
      </c>
      <c r="N62" s="2" t="s">
        <v>24</v>
      </c>
      <c r="O62" s="2" t="s">
        <v>24</v>
      </c>
      <c r="P62" s="2" t="s">
        <v>24</v>
      </c>
      <c r="Q62" s="2" t="s">
        <v>24</v>
      </c>
      <c r="R62" s="2"/>
      <c r="S62" s="2">
        <v>19</v>
      </c>
      <c r="T62" s="2">
        <v>11</v>
      </c>
      <c r="U62" s="2"/>
      <c r="V62" s="2"/>
      <c r="W62" s="2"/>
      <c r="X62" s="2"/>
      <c r="Y62" s="2"/>
      <c r="Z62" s="2"/>
      <c r="AA62" s="2"/>
      <c r="AB62" s="2"/>
      <c r="AC62" s="2" t="s">
        <v>48</v>
      </c>
      <c r="AD62" s="2" t="s">
        <v>29</v>
      </c>
      <c r="AE62" s="2"/>
      <c r="AF62" s="2"/>
      <c r="AG62" s="2"/>
      <c r="AH62" s="2"/>
      <c r="AI62" s="2"/>
      <c r="AJ62" s="2"/>
      <c r="AK62" s="2"/>
      <c r="AL62" s="1"/>
    </row>
    <row r="63" spans="1:38" ht="15.75" customHeight="1" x14ac:dyDescent="0.35">
      <c r="A63" s="1"/>
      <c r="B63" s="9" t="s">
        <v>131</v>
      </c>
      <c r="C63" s="9" t="s">
        <v>60</v>
      </c>
      <c r="D63" s="10" t="e">
        <f>VLOOKUP('2026 EOM and Scores'!$C63,'[1]Lists (Ignore)'!$N:$O,2,FALSE)</f>
        <v>#N/A</v>
      </c>
      <c r="E63" s="10" t="s">
        <v>41</v>
      </c>
      <c r="F63" s="11" t="s">
        <v>679</v>
      </c>
      <c r="G63" s="2"/>
      <c r="H63" s="2"/>
      <c r="I63" s="2" t="s">
        <v>23</v>
      </c>
      <c r="J63" s="2" t="s">
        <v>23</v>
      </c>
      <c r="K63" s="2" t="s">
        <v>23</v>
      </c>
      <c r="L63" s="2"/>
      <c r="M63" s="2"/>
      <c r="N63" s="2"/>
      <c r="O63" s="2"/>
      <c r="P63" s="2"/>
      <c r="Q63" s="2"/>
      <c r="R63" s="2"/>
      <c r="S63" s="2" t="s">
        <v>23</v>
      </c>
      <c r="T63" s="2" t="s">
        <v>23</v>
      </c>
      <c r="U63" s="2"/>
      <c r="V63" s="2"/>
      <c r="W63" s="2"/>
      <c r="X63" s="2"/>
      <c r="Y63" s="2"/>
      <c r="Z63" s="2"/>
      <c r="AA63" s="2"/>
      <c r="AB63" s="2"/>
      <c r="AC63" s="2" t="s">
        <v>48</v>
      </c>
      <c r="AD63" s="2" t="s">
        <v>48</v>
      </c>
      <c r="AE63" s="2"/>
      <c r="AF63" s="2"/>
      <c r="AG63" s="2"/>
      <c r="AH63" s="2"/>
      <c r="AI63" s="2"/>
      <c r="AJ63" s="2"/>
      <c r="AK63" s="2"/>
      <c r="AL63" s="1"/>
    </row>
    <row r="64" spans="1:38" ht="15.75" customHeight="1" x14ac:dyDescent="0.35">
      <c r="B64" s="9" t="s">
        <v>132</v>
      </c>
      <c r="C64" s="9" t="s">
        <v>133</v>
      </c>
      <c r="D64" s="10" t="e">
        <f>VLOOKUP('2026 EOM and Scores'!$C64,'[1]Lists (Ignore)'!$N:$O,2,FALSE)</f>
        <v>#N/A</v>
      </c>
      <c r="E64" s="10" t="s">
        <v>41</v>
      </c>
      <c r="F64" s="11" t="s">
        <v>679</v>
      </c>
      <c r="G64" s="2" t="s">
        <v>32</v>
      </c>
      <c r="H64" s="2" t="s">
        <v>22</v>
      </c>
      <c r="I64" s="2">
        <v>9</v>
      </c>
      <c r="J64" s="2">
        <v>10</v>
      </c>
      <c r="K64" s="2">
        <v>11</v>
      </c>
      <c r="L64" s="2" t="s">
        <v>24</v>
      </c>
      <c r="M64" s="2" t="s">
        <v>24</v>
      </c>
      <c r="N64" s="2" t="s">
        <v>24</v>
      </c>
      <c r="O64" s="2" t="s">
        <v>24</v>
      </c>
      <c r="P64" s="2" t="s">
        <v>24</v>
      </c>
      <c r="Q64" s="2" t="s">
        <v>24</v>
      </c>
      <c r="R64" s="2"/>
      <c r="S64" s="2">
        <v>18</v>
      </c>
      <c r="T64" s="2">
        <v>12</v>
      </c>
      <c r="U64" s="2"/>
      <c r="V64" s="2"/>
      <c r="W64" s="2"/>
      <c r="X64" s="2"/>
      <c r="Y64" s="2"/>
      <c r="Z64" s="2"/>
      <c r="AA64" s="2"/>
      <c r="AB64" s="2"/>
      <c r="AC64" s="2" t="s">
        <v>28</v>
      </c>
      <c r="AD64" s="2" t="s">
        <v>28</v>
      </c>
      <c r="AE64" s="2"/>
      <c r="AF64" s="2"/>
      <c r="AG64" s="2"/>
      <c r="AH64" s="2"/>
      <c r="AI64" s="2"/>
      <c r="AJ64" s="2"/>
      <c r="AK64" s="2"/>
    </row>
    <row r="65" spans="1:38" ht="15.75" customHeight="1" x14ac:dyDescent="0.35">
      <c r="B65" s="9" t="s">
        <v>134</v>
      </c>
      <c r="C65" s="9" t="s">
        <v>135</v>
      </c>
      <c r="D65" s="10" t="e">
        <f>VLOOKUP('2026 EOM and Scores'!$C65,'[1]Lists (Ignore)'!$N:$O,2,FALSE)</f>
        <v>#N/A</v>
      </c>
      <c r="E65" s="10" t="s">
        <v>20</v>
      </c>
      <c r="F65" s="11" t="s">
        <v>679</v>
      </c>
      <c r="G65" s="2" t="s">
        <v>32</v>
      </c>
      <c r="H65" s="2" t="s">
        <v>22</v>
      </c>
      <c r="I65" s="2">
        <v>7</v>
      </c>
      <c r="J65" s="2" t="s">
        <v>23</v>
      </c>
      <c r="K65" s="2" t="s">
        <v>23</v>
      </c>
      <c r="L65" s="2" t="s">
        <v>24</v>
      </c>
      <c r="M65" s="2" t="s">
        <v>24</v>
      </c>
      <c r="N65" s="2" t="s">
        <v>24</v>
      </c>
      <c r="O65" s="2" t="s">
        <v>24</v>
      </c>
      <c r="P65" s="2" t="s">
        <v>24</v>
      </c>
      <c r="Q65" s="2" t="s">
        <v>24</v>
      </c>
      <c r="R65" s="2"/>
      <c r="S65" s="2" t="s">
        <v>23</v>
      </c>
      <c r="T65" s="2" t="s">
        <v>23</v>
      </c>
      <c r="U65" s="2"/>
      <c r="V65" s="2"/>
      <c r="W65" s="2"/>
      <c r="X65" s="2"/>
      <c r="Y65" s="2"/>
      <c r="Z65" s="2"/>
      <c r="AA65" s="2"/>
      <c r="AB65" s="2"/>
      <c r="AC65" s="2" t="s">
        <v>48</v>
      </c>
      <c r="AD65" s="2" t="s">
        <v>48</v>
      </c>
      <c r="AE65" s="2"/>
      <c r="AF65" s="2"/>
      <c r="AG65" s="2"/>
      <c r="AH65" s="2"/>
      <c r="AI65" s="2"/>
      <c r="AJ65" s="2"/>
      <c r="AK65" s="2"/>
    </row>
    <row r="66" spans="1:38" ht="15.75" customHeight="1" x14ac:dyDescent="0.35">
      <c r="B66" s="9" t="s">
        <v>136</v>
      </c>
      <c r="C66" s="9" t="s">
        <v>112</v>
      </c>
      <c r="D66" s="10" t="e">
        <f>VLOOKUP('2026 EOM and Scores'!$C66,'[1]Lists (Ignore)'!$N:$O,2,FALSE)</f>
        <v>#N/A</v>
      </c>
      <c r="E66" s="10" t="s">
        <v>47</v>
      </c>
      <c r="F66" s="11" t="s">
        <v>679</v>
      </c>
      <c r="G66" s="2" t="s">
        <v>21</v>
      </c>
      <c r="H66" s="2" t="s">
        <v>22</v>
      </c>
      <c r="I66" s="2">
        <v>9</v>
      </c>
      <c r="J66" s="2">
        <v>8</v>
      </c>
      <c r="K66" s="2">
        <v>12</v>
      </c>
      <c r="L66" s="2" t="s">
        <v>24</v>
      </c>
      <c r="M66" s="2" t="s">
        <v>24</v>
      </c>
      <c r="N66" s="2" t="s">
        <v>24</v>
      </c>
      <c r="O66" s="2" t="s">
        <v>24</v>
      </c>
      <c r="P66" s="2" t="s">
        <v>24</v>
      </c>
      <c r="Q66" s="2" t="s">
        <v>24</v>
      </c>
      <c r="R66" s="2"/>
      <c r="S66" s="2">
        <v>21</v>
      </c>
      <c r="T66" s="2">
        <v>10</v>
      </c>
      <c r="U66" s="2"/>
      <c r="V66" s="2"/>
      <c r="W66" s="2"/>
      <c r="X66" s="2"/>
      <c r="Y66" s="2"/>
      <c r="Z66" s="2"/>
      <c r="AA66" s="2"/>
      <c r="AB66" s="2"/>
      <c r="AC66" s="2" t="s">
        <v>48</v>
      </c>
      <c r="AD66" s="2" t="s">
        <v>48</v>
      </c>
      <c r="AE66" s="2"/>
      <c r="AF66" s="2"/>
      <c r="AG66" s="2"/>
      <c r="AH66" s="2"/>
      <c r="AI66" s="2"/>
      <c r="AJ66" s="2"/>
      <c r="AK66" s="2"/>
    </row>
    <row r="67" spans="1:38" ht="15.75" customHeight="1" x14ac:dyDescent="0.35">
      <c r="B67" s="9" t="s">
        <v>137</v>
      </c>
      <c r="C67" s="9" t="s">
        <v>138</v>
      </c>
      <c r="D67" s="10" t="e">
        <f>VLOOKUP('2026 EOM and Scores'!$C67,'[1]Lists (Ignore)'!$N:$O,2,FALSE)</f>
        <v>#N/A</v>
      </c>
      <c r="E67" s="10" t="s">
        <v>41</v>
      </c>
      <c r="F67" s="11" t="s">
        <v>679</v>
      </c>
      <c r="G67" s="2" t="s">
        <v>32</v>
      </c>
      <c r="H67" s="2" t="s">
        <v>22</v>
      </c>
      <c r="I67" s="2">
        <v>10</v>
      </c>
      <c r="J67" s="2" t="s">
        <v>23</v>
      </c>
      <c r="K67" s="2">
        <v>12</v>
      </c>
      <c r="L67" s="2"/>
      <c r="M67" s="2"/>
      <c r="N67" s="2"/>
      <c r="O67" s="2"/>
      <c r="P67" s="2"/>
      <c r="Q67" s="2"/>
      <c r="R67" s="2"/>
      <c r="S67" s="2" t="s">
        <v>23</v>
      </c>
      <c r="T67" s="2">
        <v>9</v>
      </c>
      <c r="U67" s="2"/>
      <c r="V67" s="2"/>
      <c r="W67" s="2"/>
      <c r="X67" s="2"/>
      <c r="Y67" s="2"/>
      <c r="Z67" s="2"/>
      <c r="AA67" s="2"/>
      <c r="AB67" s="2"/>
      <c r="AC67" s="2" t="s">
        <v>29</v>
      </c>
      <c r="AD67" s="2" t="s">
        <v>25</v>
      </c>
      <c r="AE67" s="2"/>
      <c r="AF67" s="2"/>
      <c r="AG67" s="2"/>
      <c r="AH67" s="2"/>
      <c r="AI67" s="2"/>
      <c r="AJ67" s="2"/>
      <c r="AK67" s="2"/>
    </row>
    <row r="68" spans="1:38" ht="15.75" customHeight="1" x14ac:dyDescent="0.35">
      <c r="B68" s="9" t="s">
        <v>139</v>
      </c>
      <c r="C68" s="9" t="s">
        <v>140</v>
      </c>
      <c r="D68" s="10" t="e">
        <f>VLOOKUP('2026 EOM and Scores'!$C68,'[1]Lists (Ignore)'!$N:$O,2,FALSE)</f>
        <v>#N/A</v>
      </c>
      <c r="E68" s="10" t="s">
        <v>41</v>
      </c>
      <c r="F68" s="11" t="s">
        <v>679</v>
      </c>
      <c r="G68" s="2" t="s">
        <v>21</v>
      </c>
      <c r="H68" s="2" t="s">
        <v>22</v>
      </c>
      <c r="I68" s="2" t="s">
        <v>23</v>
      </c>
      <c r="J68" s="2" t="s">
        <v>23</v>
      </c>
      <c r="K68" s="2" t="s">
        <v>23</v>
      </c>
      <c r="L68" s="2" t="s">
        <v>24</v>
      </c>
      <c r="M68" s="2" t="s">
        <v>24</v>
      </c>
      <c r="N68" s="2" t="s">
        <v>24</v>
      </c>
      <c r="O68" s="2" t="s">
        <v>24</v>
      </c>
      <c r="P68" s="2" t="s">
        <v>24</v>
      </c>
      <c r="Q68" s="2" t="s">
        <v>24</v>
      </c>
      <c r="R68" s="2"/>
      <c r="S68" s="2" t="s">
        <v>23</v>
      </c>
      <c r="T68" s="2" t="s">
        <v>23</v>
      </c>
      <c r="U68" s="2"/>
      <c r="V68" s="2"/>
      <c r="W68" s="2"/>
      <c r="X68" s="2"/>
      <c r="Y68" s="2"/>
      <c r="Z68" s="2"/>
      <c r="AA68" s="2"/>
      <c r="AB68" s="2"/>
      <c r="AC68" s="2" t="s">
        <v>48</v>
      </c>
      <c r="AD68" s="2" t="s">
        <v>48</v>
      </c>
      <c r="AE68" s="2"/>
      <c r="AF68" s="2"/>
      <c r="AG68" s="2"/>
      <c r="AH68" s="2"/>
      <c r="AI68" s="2"/>
      <c r="AJ68" s="2"/>
      <c r="AK68" s="2"/>
    </row>
    <row r="69" spans="1:38" ht="15.75" customHeight="1" x14ac:dyDescent="0.35">
      <c r="B69" s="9" t="s">
        <v>141</v>
      </c>
      <c r="C69" s="9" t="s">
        <v>142</v>
      </c>
      <c r="D69" s="10" t="e">
        <f>VLOOKUP('2026 EOM and Scores'!$C69,'[1]Lists (Ignore)'!$N:$O,2,FALSE)</f>
        <v>#N/A</v>
      </c>
      <c r="E69" s="10" t="s">
        <v>20</v>
      </c>
      <c r="F69" s="11" t="s">
        <v>679</v>
      </c>
      <c r="G69" s="2" t="s">
        <v>21</v>
      </c>
      <c r="H69" s="2" t="s">
        <v>22</v>
      </c>
      <c r="I69" s="2">
        <v>8</v>
      </c>
      <c r="J69" s="2">
        <v>10</v>
      </c>
      <c r="K69" s="2" t="s">
        <v>23</v>
      </c>
      <c r="L69" s="2" t="s">
        <v>24</v>
      </c>
      <c r="M69" s="2" t="s">
        <v>24</v>
      </c>
      <c r="N69" s="2" t="s">
        <v>24</v>
      </c>
      <c r="O69" s="2" t="s">
        <v>24</v>
      </c>
      <c r="P69" s="2" t="s">
        <v>24</v>
      </c>
      <c r="Q69" s="2" t="s">
        <v>24</v>
      </c>
      <c r="R69" s="2"/>
      <c r="S69" s="2">
        <v>23</v>
      </c>
      <c r="T69" s="2" t="s">
        <v>23</v>
      </c>
      <c r="U69" s="2"/>
      <c r="V69" s="2"/>
      <c r="W69" s="2"/>
      <c r="X69" s="2"/>
      <c r="Y69" s="2"/>
      <c r="Z69" s="2"/>
      <c r="AA69" s="2"/>
      <c r="AB69" s="2"/>
      <c r="AC69" s="2" t="s">
        <v>25</v>
      </c>
      <c r="AD69" s="2" t="s">
        <v>48</v>
      </c>
      <c r="AE69" s="2"/>
      <c r="AF69" s="2"/>
      <c r="AG69" s="2"/>
      <c r="AH69" s="2"/>
      <c r="AI69" s="2"/>
      <c r="AJ69" s="2"/>
      <c r="AK69" s="2"/>
    </row>
    <row r="70" spans="1:38" ht="15.75" customHeight="1" x14ac:dyDescent="0.35">
      <c r="A70" s="1"/>
      <c r="B70" s="12"/>
      <c r="C70" s="1"/>
      <c r="D70" s="1"/>
      <c r="E70" s="1"/>
      <c r="F70" s="1"/>
      <c r="G70" s="1"/>
      <c r="H70" s="12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4"/>
      <c r="AD70" s="14"/>
      <c r="AE70" s="14"/>
      <c r="AF70" s="14"/>
      <c r="AG70" s="14"/>
      <c r="AH70" s="14"/>
      <c r="AI70" s="14"/>
      <c r="AJ70" s="14"/>
      <c r="AK70" s="14"/>
      <c r="AL70" s="1"/>
    </row>
    <row r="71" spans="1:38" ht="15.75" customHeight="1" x14ac:dyDescent="0.35">
      <c r="A71" s="1"/>
      <c r="D71" s="15"/>
      <c r="E71" s="15"/>
      <c r="F71" s="15"/>
      <c r="G71" s="2"/>
      <c r="K71" s="9"/>
      <c r="AC71" s="12"/>
      <c r="AD71" s="12"/>
      <c r="AE71" s="12"/>
      <c r="AF71" s="12"/>
      <c r="AG71" s="12"/>
      <c r="AH71" s="12"/>
      <c r="AI71" s="12"/>
      <c r="AJ71" s="12"/>
      <c r="AK71" s="12"/>
      <c r="AL71" s="1"/>
    </row>
    <row r="72" spans="1:38" ht="15.75" customHeight="1" x14ac:dyDescent="0.35">
      <c r="D72" s="2"/>
      <c r="E72" s="2"/>
      <c r="F72" s="2"/>
      <c r="G72" s="2"/>
      <c r="K72" s="9"/>
      <c r="AK72" s="1"/>
    </row>
    <row r="73" spans="1:38" ht="15.75" customHeight="1" x14ac:dyDescent="0.35">
      <c r="D73" s="2"/>
      <c r="E73" s="2"/>
      <c r="F73" s="2"/>
      <c r="G73" s="2"/>
    </row>
    <row r="74" spans="1:38" ht="15.75" customHeight="1" x14ac:dyDescent="0.35">
      <c r="D74" s="2"/>
      <c r="E74" s="2"/>
      <c r="F74" s="2"/>
      <c r="G74" s="2"/>
      <c r="K74" s="9"/>
    </row>
    <row r="75" spans="1:38" ht="15.75" customHeight="1" x14ac:dyDescent="0.35">
      <c r="D75" s="2"/>
      <c r="E75" s="2"/>
      <c r="F75" s="2"/>
      <c r="G75" s="2"/>
    </row>
    <row r="76" spans="1:38" ht="15.75" customHeight="1" x14ac:dyDescent="0.35">
      <c r="D76" s="2"/>
      <c r="E76" s="2"/>
      <c r="F76" s="2"/>
      <c r="G76" s="2"/>
    </row>
    <row r="77" spans="1:38" ht="15.75" customHeight="1" x14ac:dyDescent="0.35">
      <c r="D77" s="2"/>
      <c r="E77" s="2"/>
      <c r="F77" s="2"/>
      <c r="G77" s="2"/>
    </row>
    <row r="78" spans="1:38" ht="15.75" customHeight="1" x14ac:dyDescent="0.35">
      <c r="D78" s="2"/>
      <c r="E78" s="2"/>
      <c r="F78" s="2"/>
      <c r="G78" s="2"/>
    </row>
    <row r="79" spans="1:38" ht="15.75" customHeight="1" x14ac:dyDescent="0.35">
      <c r="D79" s="2"/>
      <c r="E79" s="2"/>
      <c r="F79" s="2"/>
      <c r="G79" s="2"/>
    </row>
    <row r="80" spans="1:38" ht="15.75" customHeight="1" x14ac:dyDescent="0.35">
      <c r="D80" s="2"/>
      <c r="E80" s="2"/>
      <c r="F80" s="2"/>
      <c r="G80" s="2"/>
    </row>
    <row r="81" spans="4:7" ht="15.75" customHeight="1" x14ac:dyDescent="0.35">
      <c r="D81" s="2"/>
      <c r="E81" s="2"/>
      <c r="F81" s="2"/>
      <c r="G81" s="2"/>
    </row>
    <row r="82" spans="4:7" ht="15.75" customHeight="1" x14ac:dyDescent="0.35">
      <c r="D82" s="2"/>
      <c r="E82" s="2"/>
      <c r="F82" s="2"/>
      <c r="G82" s="2"/>
    </row>
    <row r="83" spans="4:7" ht="15.75" customHeight="1" x14ac:dyDescent="0.35">
      <c r="D83" s="2"/>
      <c r="E83" s="2"/>
      <c r="F83" s="2"/>
      <c r="G83" s="2"/>
    </row>
    <row r="84" spans="4:7" ht="15.75" customHeight="1" x14ac:dyDescent="0.35">
      <c r="D84" s="2"/>
      <c r="E84" s="2"/>
      <c r="F84" s="2"/>
      <c r="G84" s="2"/>
    </row>
    <row r="85" spans="4:7" ht="15.75" customHeight="1" x14ac:dyDescent="0.35">
      <c r="D85" s="2"/>
      <c r="E85" s="2"/>
      <c r="F85" s="2"/>
      <c r="G85" s="2"/>
    </row>
    <row r="86" spans="4:7" ht="15.75" customHeight="1" x14ac:dyDescent="0.35">
      <c r="D86" s="2"/>
      <c r="E86" s="2"/>
      <c r="F86" s="2"/>
      <c r="G86" s="2"/>
    </row>
    <row r="87" spans="4:7" ht="15.75" customHeight="1" x14ac:dyDescent="0.35">
      <c r="D87" s="2"/>
      <c r="E87" s="2"/>
      <c r="F87" s="2"/>
      <c r="G87" s="2"/>
    </row>
    <row r="88" spans="4:7" ht="15.75" customHeight="1" x14ac:dyDescent="0.35">
      <c r="D88" s="2"/>
      <c r="E88" s="2"/>
      <c r="F88" s="2"/>
      <c r="G88" s="2"/>
    </row>
    <row r="89" spans="4:7" ht="15.75" customHeight="1" x14ac:dyDescent="0.35">
      <c r="D89" s="2"/>
      <c r="E89" s="2"/>
      <c r="F89" s="2"/>
      <c r="G89" s="2"/>
    </row>
    <row r="90" spans="4:7" ht="15.75" customHeight="1" x14ac:dyDescent="0.35">
      <c r="D90" s="2"/>
      <c r="E90" s="2"/>
      <c r="F90" s="2"/>
      <c r="G90" s="2"/>
    </row>
    <row r="91" spans="4:7" ht="15.75" customHeight="1" x14ac:dyDescent="0.35">
      <c r="D91" s="2"/>
      <c r="E91" s="2"/>
      <c r="F91" s="2"/>
      <c r="G91" s="2"/>
    </row>
    <row r="92" spans="4:7" ht="15.75" customHeight="1" x14ac:dyDescent="0.35">
      <c r="D92" s="2"/>
      <c r="E92" s="2"/>
      <c r="F92" s="2"/>
      <c r="G92" s="2"/>
    </row>
    <row r="93" spans="4:7" ht="15.75" customHeight="1" x14ac:dyDescent="0.35">
      <c r="D93" s="2"/>
      <c r="E93" s="2"/>
      <c r="F93" s="2"/>
      <c r="G93" s="2"/>
    </row>
    <row r="94" spans="4:7" ht="15.75" customHeight="1" x14ac:dyDescent="0.35">
      <c r="D94" s="2"/>
      <c r="E94" s="2"/>
      <c r="F94" s="2"/>
      <c r="G94" s="2"/>
    </row>
    <row r="95" spans="4:7" ht="15.75" customHeight="1" x14ac:dyDescent="0.35">
      <c r="D95" s="2"/>
      <c r="E95" s="2"/>
      <c r="F95" s="2"/>
      <c r="G95" s="2"/>
    </row>
    <row r="96" spans="4:7" ht="15.75" customHeight="1" x14ac:dyDescent="0.35">
      <c r="D96" s="2"/>
      <c r="E96" s="2"/>
      <c r="F96" s="2"/>
      <c r="G96" s="2"/>
    </row>
    <row r="97" spans="4:7" ht="15.75" customHeight="1" x14ac:dyDescent="0.35">
      <c r="D97" s="2"/>
      <c r="E97" s="2"/>
      <c r="F97" s="2"/>
      <c r="G97" s="2"/>
    </row>
    <row r="98" spans="4:7" ht="15.75" customHeight="1" x14ac:dyDescent="0.35">
      <c r="D98" s="2"/>
      <c r="E98" s="2"/>
      <c r="F98" s="2"/>
      <c r="G98" s="2"/>
    </row>
    <row r="99" spans="4:7" ht="15.75" customHeight="1" x14ac:dyDescent="0.35">
      <c r="D99" s="2"/>
      <c r="E99" s="2"/>
      <c r="F99" s="2"/>
      <c r="G99" s="2"/>
    </row>
    <row r="100" spans="4:7" ht="15.75" customHeight="1" x14ac:dyDescent="0.35">
      <c r="D100" s="2"/>
      <c r="E100" s="2"/>
      <c r="F100" s="2"/>
      <c r="G100" s="2"/>
    </row>
    <row r="101" spans="4:7" ht="15.75" customHeight="1" x14ac:dyDescent="0.35">
      <c r="D101" s="2"/>
      <c r="E101" s="2"/>
      <c r="F101" s="2"/>
      <c r="G101" s="2"/>
    </row>
    <row r="102" spans="4:7" ht="15.75" customHeight="1" x14ac:dyDescent="0.35">
      <c r="D102" s="2"/>
      <c r="E102" s="2"/>
      <c r="F102" s="2"/>
      <c r="G102" s="2"/>
    </row>
    <row r="103" spans="4:7" ht="15.75" customHeight="1" x14ac:dyDescent="0.35">
      <c r="D103" s="2"/>
      <c r="E103" s="2"/>
      <c r="F103" s="2"/>
      <c r="G103" s="2"/>
    </row>
    <row r="104" spans="4:7" ht="15.75" customHeight="1" x14ac:dyDescent="0.35">
      <c r="D104" s="2"/>
      <c r="E104" s="2"/>
      <c r="F104" s="2"/>
      <c r="G104" s="2"/>
    </row>
    <row r="105" spans="4:7" ht="15.75" customHeight="1" x14ac:dyDescent="0.35">
      <c r="D105" s="2"/>
      <c r="E105" s="2"/>
      <c r="F105" s="2"/>
      <c r="G105" s="2"/>
    </row>
    <row r="106" spans="4:7" ht="15.75" customHeight="1" x14ac:dyDescent="0.35">
      <c r="D106" s="2"/>
      <c r="E106" s="2"/>
      <c r="F106" s="2"/>
      <c r="G106" s="2"/>
    </row>
    <row r="107" spans="4:7" ht="15.75" customHeight="1" x14ac:dyDescent="0.35">
      <c r="D107" s="2"/>
      <c r="E107" s="2"/>
      <c r="F107" s="2"/>
      <c r="G107" s="2"/>
    </row>
    <row r="108" spans="4:7" ht="15.75" customHeight="1" x14ac:dyDescent="0.35">
      <c r="D108" s="2"/>
      <c r="E108" s="2"/>
      <c r="F108" s="2"/>
      <c r="G108" s="2"/>
    </row>
    <row r="109" spans="4:7" ht="15.75" customHeight="1" x14ac:dyDescent="0.35">
      <c r="D109" s="2"/>
      <c r="E109" s="2"/>
      <c r="F109" s="2"/>
      <c r="G109" s="2"/>
    </row>
    <row r="110" spans="4:7" ht="15.75" customHeight="1" x14ac:dyDescent="0.35">
      <c r="D110" s="2"/>
      <c r="E110" s="2"/>
      <c r="F110" s="2"/>
      <c r="G110" s="2"/>
    </row>
    <row r="111" spans="4:7" ht="15.75" customHeight="1" x14ac:dyDescent="0.35">
      <c r="D111" s="2"/>
      <c r="E111" s="2"/>
      <c r="F111" s="2"/>
      <c r="G111" s="2"/>
    </row>
    <row r="112" spans="4:7" ht="15.75" customHeight="1" x14ac:dyDescent="0.35">
      <c r="D112" s="2"/>
      <c r="E112" s="2"/>
      <c r="F112" s="2"/>
      <c r="G112" s="2"/>
    </row>
    <row r="113" spans="4:7" ht="15.75" customHeight="1" x14ac:dyDescent="0.35">
      <c r="D113" s="2"/>
      <c r="E113" s="2"/>
      <c r="F113" s="2"/>
      <c r="G113" s="2"/>
    </row>
    <row r="114" spans="4:7" ht="15.75" customHeight="1" x14ac:dyDescent="0.35">
      <c r="D114" s="2"/>
      <c r="E114" s="2"/>
      <c r="F114" s="2"/>
      <c r="G114" s="2"/>
    </row>
    <row r="115" spans="4:7" ht="15.75" customHeight="1" x14ac:dyDescent="0.35">
      <c r="D115" s="2"/>
      <c r="E115" s="2"/>
      <c r="F115" s="2"/>
      <c r="G115" s="2"/>
    </row>
    <row r="116" spans="4:7" ht="15.75" customHeight="1" x14ac:dyDescent="0.35">
      <c r="D116" s="2"/>
      <c r="E116" s="2"/>
      <c r="F116" s="2"/>
      <c r="G116" s="2"/>
    </row>
    <row r="117" spans="4:7" ht="15.75" customHeight="1" x14ac:dyDescent="0.35">
      <c r="D117" s="2"/>
      <c r="E117" s="2"/>
      <c r="F117" s="2"/>
      <c r="G117" s="2"/>
    </row>
    <row r="118" spans="4:7" ht="15.75" customHeight="1" x14ac:dyDescent="0.35">
      <c r="D118" s="2"/>
      <c r="E118" s="2"/>
      <c r="F118" s="2"/>
      <c r="G118" s="2"/>
    </row>
    <row r="119" spans="4:7" ht="15.75" customHeight="1" x14ac:dyDescent="0.35">
      <c r="D119" s="2"/>
      <c r="E119" s="2"/>
      <c r="F119" s="2"/>
      <c r="G119" s="2"/>
    </row>
    <row r="120" spans="4:7" ht="15.75" customHeight="1" x14ac:dyDescent="0.35">
      <c r="D120" s="2"/>
      <c r="E120" s="2"/>
      <c r="F120" s="2"/>
      <c r="G120" s="2"/>
    </row>
    <row r="121" spans="4:7" ht="15.75" customHeight="1" x14ac:dyDescent="0.35">
      <c r="D121" s="2"/>
      <c r="E121" s="2"/>
      <c r="F121" s="2"/>
      <c r="G121" s="2"/>
    </row>
    <row r="122" spans="4:7" ht="15.75" customHeight="1" x14ac:dyDescent="0.35">
      <c r="D122" s="2"/>
      <c r="E122" s="2"/>
      <c r="F122" s="2"/>
      <c r="G122" s="2"/>
    </row>
    <row r="123" spans="4:7" ht="15.75" customHeight="1" x14ac:dyDescent="0.35">
      <c r="D123" s="2"/>
      <c r="E123" s="2"/>
      <c r="F123" s="2"/>
      <c r="G123" s="2"/>
    </row>
    <row r="124" spans="4:7" ht="15.75" customHeight="1" x14ac:dyDescent="0.35">
      <c r="D124" s="2"/>
      <c r="E124" s="2"/>
      <c r="F124" s="2"/>
      <c r="G124" s="2"/>
    </row>
    <row r="125" spans="4:7" ht="15.75" customHeight="1" x14ac:dyDescent="0.35">
      <c r="D125" s="2"/>
      <c r="E125" s="2"/>
      <c r="F125" s="2"/>
      <c r="G125" s="2"/>
    </row>
    <row r="126" spans="4:7" ht="15.75" customHeight="1" x14ac:dyDescent="0.35">
      <c r="D126" s="2"/>
      <c r="E126" s="2"/>
      <c r="F126" s="2"/>
      <c r="G126" s="2"/>
    </row>
    <row r="127" spans="4:7" ht="15.75" customHeight="1" x14ac:dyDescent="0.35">
      <c r="D127" s="2"/>
      <c r="E127" s="2"/>
      <c r="F127" s="2"/>
      <c r="G127" s="2"/>
    </row>
    <row r="128" spans="4:7" ht="15.75" customHeight="1" x14ac:dyDescent="0.35">
      <c r="D128" s="2"/>
      <c r="E128" s="2"/>
      <c r="F128" s="2"/>
      <c r="G128" s="2"/>
    </row>
    <row r="129" spans="4:7" ht="15.75" customHeight="1" x14ac:dyDescent="0.35">
      <c r="D129" s="2"/>
      <c r="E129" s="2"/>
      <c r="F129" s="2"/>
      <c r="G129" s="2"/>
    </row>
    <row r="130" spans="4:7" ht="15.75" customHeight="1" x14ac:dyDescent="0.35">
      <c r="D130" s="2"/>
      <c r="E130" s="2"/>
      <c r="F130" s="2"/>
      <c r="G130" s="2"/>
    </row>
    <row r="131" spans="4:7" ht="15.75" customHeight="1" x14ac:dyDescent="0.35">
      <c r="D131" s="2"/>
      <c r="E131" s="2"/>
      <c r="F131" s="2"/>
      <c r="G131" s="2"/>
    </row>
    <row r="132" spans="4:7" ht="15.75" customHeight="1" x14ac:dyDescent="0.35">
      <c r="D132" s="2"/>
      <c r="E132" s="2"/>
      <c r="F132" s="2"/>
      <c r="G132" s="2"/>
    </row>
    <row r="133" spans="4:7" ht="15.75" customHeight="1" x14ac:dyDescent="0.35">
      <c r="D133" s="2"/>
      <c r="E133" s="2"/>
      <c r="F133" s="2"/>
      <c r="G133" s="2"/>
    </row>
    <row r="134" spans="4:7" ht="15.75" customHeight="1" x14ac:dyDescent="0.35">
      <c r="D134" s="2"/>
      <c r="E134" s="2"/>
      <c r="F134" s="2"/>
      <c r="G134" s="2"/>
    </row>
    <row r="135" spans="4:7" ht="15.75" customHeight="1" x14ac:dyDescent="0.35">
      <c r="D135" s="2"/>
      <c r="E135" s="2"/>
      <c r="F135" s="2"/>
      <c r="G135" s="2"/>
    </row>
    <row r="136" spans="4:7" ht="15.75" customHeight="1" x14ac:dyDescent="0.35">
      <c r="D136" s="2"/>
      <c r="E136" s="2"/>
      <c r="F136" s="2"/>
      <c r="G136" s="2"/>
    </row>
    <row r="137" spans="4:7" ht="15.75" customHeight="1" x14ac:dyDescent="0.35">
      <c r="D137" s="2"/>
      <c r="E137" s="2"/>
      <c r="F137" s="2"/>
      <c r="G137" s="2"/>
    </row>
    <row r="138" spans="4:7" ht="15.75" customHeight="1" x14ac:dyDescent="0.35">
      <c r="D138" s="2"/>
      <c r="E138" s="2"/>
      <c r="F138" s="2"/>
      <c r="G138" s="2"/>
    </row>
    <row r="139" spans="4:7" ht="15.75" customHeight="1" x14ac:dyDescent="0.35">
      <c r="D139" s="2"/>
      <c r="E139" s="2"/>
      <c r="F139" s="2"/>
      <c r="G139" s="2"/>
    </row>
    <row r="140" spans="4:7" ht="15.75" customHeight="1" x14ac:dyDescent="0.35">
      <c r="D140" s="2"/>
      <c r="E140" s="2"/>
      <c r="F140" s="2"/>
      <c r="G140" s="2"/>
    </row>
    <row r="141" spans="4:7" ht="15.75" customHeight="1" x14ac:dyDescent="0.35">
      <c r="D141" s="2"/>
      <c r="E141" s="2"/>
      <c r="F141" s="2"/>
      <c r="G141" s="2"/>
    </row>
    <row r="142" spans="4:7" ht="15.75" customHeight="1" x14ac:dyDescent="0.35">
      <c r="D142" s="2"/>
      <c r="E142" s="2"/>
      <c r="F142" s="2"/>
      <c r="G142" s="2"/>
    </row>
    <row r="143" spans="4:7" ht="15.75" customHeight="1" x14ac:dyDescent="0.35">
      <c r="D143" s="2"/>
      <c r="E143" s="2"/>
      <c r="F143" s="2"/>
      <c r="G143" s="2"/>
    </row>
    <row r="144" spans="4:7" ht="15.75" customHeight="1" x14ac:dyDescent="0.35">
      <c r="D144" s="2"/>
      <c r="E144" s="2"/>
      <c r="F144" s="2"/>
      <c r="G144" s="2"/>
    </row>
    <row r="145" spans="4:7" ht="15.75" customHeight="1" x14ac:dyDescent="0.35">
      <c r="D145" s="2"/>
      <c r="E145" s="2"/>
      <c r="F145" s="2"/>
      <c r="G145" s="2"/>
    </row>
    <row r="146" spans="4:7" ht="15.75" customHeight="1" x14ac:dyDescent="0.35">
      <c r="D146" s="2"/>
      <c r="E146" s="2"/>
      <c r="F146" s="2"/>
      <c r="G146" s="2"/>
    </row>
    <row r="147" spans="4:7" ht="15.75" customHeight="1" x14ac:dyDescent="0.35">
      <c r="D147" s="2"/>
      <c r="E147" s="2"/>
      <c r="F147" s="2"/>
      <c r="G147" s="2"/>
    </row>
    <row r="148" spans="4:7" ht="15.75" customHeight="1" x14ac:dyDescent="0.35">
      <c r="D148" s="2"/>
      <c r="E148" s="2"/>
      <c r="F148" s="2"/>
      <c r="G148" s="2"/>
    </row>
    <row r="149" spans="4:7" ht="15.75" customHeight="1" x14ac:dyDescent="0.35">
      <c r="D149" s="2"/>
      <c r="E149" s="2"/>
      <c r="F149" s="2"/>
      <c r="G149" s="2"/>
    </row>
    <row r="150" spans="4:7" ht="15.75" customHeight="1" x14ac:dyDescent="0.35">
      <c r="D150" s="2"/>
      <c r="E150" s="2"/>
      <c r="F150" s="2"/>
      <c r="G150" s="2"/>
    </row>
    <row r="151" spans="4:7" ht="15.75" customHeight="1" x14ac:dyDescent="0.35">
      <c r="D151" s="2"/>
      <c r="E151" s="2"/>
      <c r="F151" s="2"/>
      <c r="G151" s="2"/>
    </row>
    <row r="152" spans="4:7" ht="15.75" customHeight="1" x14ac:dyDescent="0.35">
      <c r="D152" s="2"/>
      <c r="E152" s="2"/>
      <c r="F152" s="2"/>
      <c r="G152" s="2"/>
    </row>
    <row r="153" spans="4:7" ht="15.75" customHeight="1" x14ac:dyDescent="0.35">
      <c r="D153" s="2"/>
      <c r="E153" s="2"/>
      <c r="F153" s="2"/>
      <c r="G153" s="2"/>
    </row>
    <row r="154" spans="4:7" ht="15.75" customHeight="1" x14ac:dyDescent="0.35">
      <c r="D154" s="2"/>
      <c r="E154" s="2"/>
      <c r="F154" s="2"/>
      <c r="G154" s="2"/>
    </row>
    <row r="155" spans="4:7" ht="15.75" customHeight="1" x14ac:dyDescent="0.35">
      <c r="D155" s="2"/>
      <c r="E155" s="2"/>
      <c r="F155" s="2"/>
      <c r="G155" s="2"/>
    </row>
    <row r="156" spans="4:7" ht="15.75" customHeight="1" x14ac:dyDescent="0.35">
      <c r="D156" s="2"/>
      <c r="E156" s="2"/>
      <c r="F156" s="2"/>
      <c r="G156" s="2"/>
    </row>
    <row r="157" spans="4:7" ht="15.75" customHeight="1" x14ac:dyDescent="0.35">
      <c r="D157" s="2"/>
      <c r="E157" s="2"/>
      <c r="F157" s="2"/>
      <c r="G157" s="2"/>
    </row>
    <row r="158" spans="4:7" ht="15.75" customHeight="1" x14ac:dyDescent="0.35">
      <c r="D158" s="2"/>
      <c r="E158" s="2"/>
      <c r="F158" s="2"/>
      <c r="G158" s="2"/>
    </row>
    <row r="159" spans="4:7" ht="15.75" customHeight="1" x14ac:dyDescent="0.35">
      <c r="D159" s="2"/>
      <c r="E159" s="2"/>
      <c r="F159" s="2"/>
      <c r="G159" s="2"/>
    </row>
    <row r="160" spans="4:7" ht="15.75" customHeight="1" x14ac:dyDescent="0.35">
      <c r="D160" s="2"/>
      <c r="E160" s="2"/>
      <c r="F160" s="2"/>
      <c r="G160" s="2"/>
    </row>
    <row r="161" spans="4:7" ht="15.75" customHeight="1" x14ac:dyDescent="0.35">
      <c r="D161" s="2"/>
      <c r="E161" s="2"/>
      <c r="F161" s="2"/>
      <c r="G161" s="2"/>
    </row>
    <row r="162" spans="4:7" ht="15.75" customHeight="1" x14ac:dyDescent="0.35">
      <c r="D162" s="2"/>
      <c r="E162" s="2"/>
      <c r="F162" s="2"/>
      <c r="G162" s="2"/>
    </row>
    <row r="163" spans="4:7" ht="15.75" customHeight="1" x14ac:dyDescent="0.35">
      <c r="D163" s="2"/>
      <c r="E163" s="2"/>
      <c r="F163" s="2"/>
      <c r="G163" s="2"/>
    </row>
    <row r="164" spans="4:7" ht="15.75" customHeight="1" x14ac:dyDescent="0.35">
      <c r="D164" s="2"/>
      <c r="E164" s="2"/>
      <c r="F164" s="2"/>
      <c r="G164" s="2"/>
    </row>
    <row r="165" spans="4:7" ht="15.75" customHeight="1" x14ac:dyDescent="0.35">
      <c r="D165" s="2"/>
      <c r="E165" s="2"/>
      <c r="F165" s="2"/>
      <c r="G165" s="2"/>
    </row>
    <row r="166" spans="4:7" ht="15.75" customHeight="1" x14ac:dyDescent="0.35">
      <c r="D166" s="2"/>
      <c r="E166" s="2"/>
      <c r="F166" s="2"/>
      <c r="G166" s="2"/>
    </row>
    <row r="167" spans="4:7" ht="15.75" customHeight="1" x14ac:dyDescent="0.35">
      <c r="D167" s="2"/>
      <c r="E167" s="2"/>
      <c r="F167" s="2"/>
      <c r="G167" s="2"/>
    </row>
    <row r="168" spans="4:7" ht="15.75" customHeight="1" x14ac:dyDescent="0.35">
      <c r="D168" s="2"/>
      <c r="E168" s="2"/>
      <c r="F168" s="2"/>
      <c r="G168" s="2"/>
    </row>
    <row r="169" spans="4:7" ht="15.75" customHeight="1" x14ac:dyDescent="0.35">
      <c r="D169" s="2"/>
      <c r="E169" s="2"/>
      <c r="F169" s="2"/>
      <c r="G169" s="2"/>
    </row>
    <row r="170" spans="4:7" ht="15.75" customHeight="1" x14ac:dyDescent="0.35">
      <c r="D170" s="2"/>
      <c r="E170" s="2"/>
      <c r="F170" s="2"/>
      <c r="G170" s="2"/>
    </row>
    <row r="171" spans="4:7" ht="15.75" customHeight="1" x14ac:dyDescent="0.35">
      <c r="D171" s="2"/>
      <c r="E171" s="2"/>
      <c r="F171" s="2"/>
      <c r="G171" s="2"/>
    </row>
    <row r="172" spans="4:7" ht="15.75" customHeight="1" x14ac:dyDescent="0.35">
      <c r="D172" s="2"/>
      <c r="E172" s="2"/>
      <c r="F172" s="2"/>
      <c r="G172" s="2"/>
    </row>
    <row r="173" spans="4:7" ht="15.75" customHeight="1" x14ac:dyDescent="0.35">
      <c r="D173" s="2"/>
      <c r="E173" s="2"/>
      <c r="F173" s="2"/>
      <c r="G173" s="2"/>
    </row>
    <row r="174" spans="4:7" ht="15.75" customHeight="1" x14ac:dyDescent="0.35">
      <c r="D174" s="2"/>
      <c r="E174" s="2"/>
      <c r="F174" s="2"/>
      <c r="G174" s="2"/>
    </row>
    <row r="175" spans="4:7" ht="15.75" customHeight="1" x14ac:dyDescent="0.35">
      <c r="D175" s="2"/>
      <c r="E175" s="2"/>
      <c r="F175" s="2"/>
      <c r="G175" s="2"/>
    </row>
    <row r="176" spans="4:7" ht="15.75" customHeight="1" x14ac:dyDescent="0.35">
      <c r="D176" s="2"/>
      <c r="E176" s="2"/>
      <c r="F176" s="2"/>
      <c r="G176" s="2"/>
    </row>
    <row r="177" spans="4:7" ht="15.75" customHeight="1" x14ac:dyDescent="0.35">
      <c r="D177" s="2"/>
      <c r="E177" s="2"/>
      <c r="F177" s="2"/>
      <c r="G177" s="2"/>
    </row>
    <row r="178" spans="4:7" ht="15.75" customHeight="1" x14ac:dyDescent="0.35">
      <c r="D178" s="2"/>
      <c r="E178" s="2"/>
      <c r="F178" s="2"/>
      <c r="G178" s="2"/>
    </row>
    <row r="179" spans="4:7" ht="15.75" customHeight="1" x14ac:dyDescent="0.35">
      <c r="D179" s="2"/>
      <c r="E179" s="2"/>
      <c r="F179" s="2"/>
      <c r="G179" s="2"/>
    </row>
    <row r="180" spans="4:7" ht="15.75" customHeight="1" x14ac:dyDescent="0.35">
      <c r="D180" s="2"/>
      <c r="E180" s="2"/>
      <c r="F180" s="2"/>
      <c r="G180" s="2"/>
    </row>
    <row r="181" spans="4:7" ht="15.75" customHeight="1" x14ac:dyDescent="0.35">
      <c r="D181" s="2"/>
      <c r="E181" s="2"/>
      <c r="F181" s="2"/>
      <c r="G181" s="2"/>
    </row>
    <row r="182" spans="4:7" ht="15.75" customHeight="1" x14ac:dyDescent="0.35">
      <c r="D182" s="2"/>
      <c r="E182" s="2"/>
      <c r="F182" s="2"/>
      <c r="G182" s="2"/>
    </row>
    <row r="183" spans="4:7" ht="15.75" customHeight="1" x14ac:dyDescent="0.35">
      <c r="D183" s="2"/>
      <c r="E183" s="2"/>
      <c r="F183" s="2"/>
      <c r="G183" s="2"/>
    </row>
    <row r="184" spans="4:7" ht="15.75" customHeight="1" x14ac:dyDescent="0.35">
      <c r="D184" s="2"/>
      <c r="E184" s="2"/>
      <c r="F184" s="2"/>
      <c r="G184" s="2"/>
    </row>
    <row r="185" spans="4:7" ht="15.75" customHeight="1" x14ac:dyDescent="0.35">
      <c r="D185" s="2"/>
      <c r="E185" s="2"/>
      <c r="F185" s="2"/>
      <c r="G185" s="2"/>
    </row>
    <row r="186" spans="4:7" ht="15.75" customHeight="1" x14ac:dyDescent="0.35">
      <c r="D186" s="2"/>
      <c r="E186" s="2"/>
      <c r="F186" s="2"/>
      <c r="G186" s="2"/>
    </row>
    <row r="187" spans="4:7" ht="15.75" customHeight="1" x14ac:dyDescent="0.35">
      <c r="D187" s="2"/>
      <c r="E187" s="2"/>
      <c r="F187" s="2"/>
      <c r="G187" s="2"/>
    </row>
    <row r="188" spans="4:7" ht="15.75" customHeight="1" x14ac:dyDescent="0.35">
      <c r="D188" s="2"/>
      <c r="E188" s="2"/>
      <c r="F188" s="2"/>
      <c r="G188" s="2"/>
    </row>
    <row r="189" spans="4:7" ht="15.75" customHeight="1" x14ac:dyDescent="0.35">
      <c r="D189" s="2"/>
      <c r="E189" s="2"/>
      <c r="F189" s="2"/>
      <c r="G189" s="2"/>
    </row>
    <row r="190" spans="4:7" ht="15.75" customHeight="1" x14ac:dyDescent="0.35">
      <c r="D190" s="2"/>
      <c r="E190" s="2"/>
      <c r="F190" s="2"/>
      <c r="G190" s="2"/>
    </row>
    <row r="191" spans="4:7" ht="15.75" customHeight="1" x14ac:dyDescent="0.35">
      <c r="D191" s="2"/>
      <c r="E191" s="2"/>
      <c r="F191" s="2"/>
      <c r="G191" s="2"/>
    </row>
    <row r="192" spans="4:7" ht="15.75" customHeight="1" x14ac:dyDescent="0.35">
      <c r="D192" s="2"/>
      <c r="E192" s="2"/>
      <c r="F192" s="2"/>
      <c r="G192" s="2"/>
    </row>
    <row r="193" spans="4:7" ht="15.75" customHeight="1" x14ac:dyDescent="0.35">
      <c r="D193" s="2"/>
      <c r="E193" s="2"/>
      <c r="F193" s="2"/>
      <c r="G193" s="2"/>
    </row>
    <row r="194" spans="4:7" ht="15.75" customHeight="1" x14ac:dyDescent="0.35">
      <c r="D194" s="2"/>
      <c r="E194" s="2"/>
      <c r="F194" s="2"/>
      <c r="G194" s="2"/>
    </row>
    <row r="195" spans="4:7" ht="15.75" customHeight="1" x14ac:dyDescent="0.35">
      <c r="D195" s="2"/>
      <c r="E195" s="2"/>
      <c r="F195" s="2"/>
      <c r="G195" s="2"/>
    </row>
    <row r="196" spans="4:7" ht="15.75" customHeight="1" x14ac:dyDescent="0.35">
      <c r="D196" s="2"/>
      <c r="E196" s="2"/>
      <c r="F196" s="2"/>
      <c r="G196" s="2"/>
    </row>
    <row r="197" spans="4:7" ht="15.75" customHeight="1" x14ac:dyDescent="0.35">
      <c r="D197" s="2"/>
      <c r="E197" s="2"/>
      <c r="F197" s="2"/>
      <c r="G197" s="2"/>
    </row>
    <row r="198" spans="4:7" ht="15.75" customHeight="1" x14ac:dyDescent="0.35">
      <c r="D198" s="2"/>
      <c r="E198" s="2"/>
      <c r="F198" s="2"/>
      <c r="G198" s="2"/>
    </row>
    <row r="199" spans="4:7" ht="15.75" customHeight="1" x14ac:dyDescent="0.35">
      <c r="D199" s="2"/>
      <c r="E199" s="2"/>
      <c r="F199" s="2"/>
      <c r="G199" s="2"/>
    </row>
    <row r="200" spans="4:7" ht="15.75" customHeight="1" x14ac:dyDescent="0.35">
      <c r="D200" s="2"/>
      <c r="E200" s="2"/>
      <c r="F200" s="2"/>
      <c r="G200" s="2"/>
    </row>
    <row r="201" spans="4:7" ht="15.75" customHeight="1" x14ac:dyDescent="0.35">
      <c r="D201" s="2"/>
      <c r="E201" s="2"/>
      <c r="F201" s="2"/>
      <c r="G201" s="2"/>
    </row>
    <row r="202" spans="4:7" ht="15.75" customHeight="1" x14ac:dyDescent="0.35">
      <c r="D202" s="2"/>
      <c r="E202" s="2"/>
      <c r="F202" s="2"/>
      <c r="G202" s="2"/>
    </row>
    <row r="203" spans="4:7" ht="15.75" customHeight="1" x14ac:dyDescent="0.35">
      <c r="D203" s="2"/>
      <c r="E203" s="2"/>
      <c r="F203" s="2"/>
      <c r="G203" s="2"/>
    </row>
    <row r="204" spans="4:7" ht="15.75" customHeight="1" x14ac:dyDescent="0.35">
      <c r="D204" s="2"/>
      <c r="E204" s="2"/>
      <c r="F204" s="2"/>
      <c r="G204" s="2"/>
    </row>
    <row r="205" spans="4:7" ht="15.75" customHeight="1" x14ac:dyDescent="0.35">
      <c r="D205" s="2"/>
      <c r="E205" s="2"/>
      <c r="F205" s="2"/>
      <c r="G205" s="2"/>
    </row>
    <row r="206" spans="4:7" ht="15.75" customHeight="1" x14ac:dyDescent="0.35">
      <c r="D206" s="2"/>
      <c r="E206" s="2"/>
      <c r="F206" s="2"/>
      <c r="G206" s="2"/>
    </row>
    <row r="207" spans="4:7" ht="15.75" customHeight="1" x14ac:dyDescent="0.35">
      <c r="D207" s="2"/>
      <c r="E207" s="2"/>
      <c r="F207" s="2"/>
      <c r="G207" s="2"/>
    </row>
    <row r="208" spans="4:7" ht="15.75" customHeight="1" x14ac:dyDescent="0.35">
      <c r="D208" s="2"/>
      <c r="E208" s="2"/>
      <c r="F208" s="2"/>
      <c r="G208" s="2"/>
    </row>
    <row r="209" spans="4:7" ht="15.75" customHeight="1" x14ac:dyDescent="0.35">
      <c r="D209" s="2"/>
      <c r="E209" s="2"/>
      <c r="F209" s="2"/>
      <c r="G209" s="2"/>
    </row>
    <row r="210" spans="4:7" ht="15.75" customHeight="1" x14ac:dyDescent="0.35">
      <c r="D210" s="2"/>
      <c r="E210" s="2"/>
      <c r="F210" s="2"/>
      <c r="G210" s="2"/>
    </row>
    <row r="211" spans="4:7" ht="15.75" customHeight="1" x14ac:dyDescent="0.35">
      <c r="D211" s="2"/>
      <c r="E211" s="2"/>
      <c r="F211" s="2"/>
      <c r="G211" s="2"/>
    </row>
    <row r="212" spans="4:7" ht="15.75" customHeight="1" x14ac:dyDescent="0.35">
      <c r="D212" s="2"/>
      <c r="E212" s="2"/>
      <c r="F212" s="2"/>
      <c r="G212" s="2"/>
    </row>
    <row r="213" spans="4:7" ht="15.75" customHeight="1" x14ac:dyDescent="0.35">
      <c r="D213" s="2"/>
      <c r="E213" s="2"/>
      <c r="F213" s="2"/>
      <c r="G213" s="2"/>
    </row>
    <row r="214" spans="4:7" ht="15.75" customHeight="1" x14ac:dyDescent="0.35">
      <c r="D214" s="2"/>
      <c r="E214" s="2"/>
      <c r="F214" s="2"/>
      <c r="G214" s="2"/>
    </row>
    <row r="215" spans="4:7" ht="15.75" customHeight="1" x14ac:dyDescent="0.35">
      <c r="D215" s="2"/>
      <c r="E215" s="2"/>
      <c r="F215" s="2"/>
      <c r="G215" s="2"/>
    </row>
    <row r="216" spans="4:7" ht="15.75" customHeight="1" x14ac:dyDescent="0.35">
      <c r="D216" s="2"/>
      <c r="E216" s="2"/>
      <c r="F216" s="2"/>
      <c r="G216" s="2"/>
    </row>
    <row r="217" spans="4:7" ht="15.75" customHeight="1" x14ac:dyDescent="0.35">
      <c r="D217" s="2"/>
      <c r="E217" s="2"/>
      <c r="F217" s="2"/>
      <c r="G217" s="2"/>
    </row>
    <row r="218" spans="4:7" ht="15.75" customHeight="1" x14ac:dyDescent="0.35">
      <c r="D218" s="2"/>
      <c r="E218" s="2"/>
      <c r="F218" s="2"/>
      <c r="G218" s="2"/>
    </row>
    <row r="219" spans="4:7" ht="15.75" customHeight="1" x14ac:dyDescent="0.35">
      <c r="D219" s="2"/>
      <c r="E219" s="2"/>
      <c r="F219" s="2"/>
      <c r="G219" s="2"/>
    </row>
    <row r="220" spans="4:7" ht="15.75" customHeight="1" x14ac:dyDescent="0.35">
      <c r="D220" s="2"/>
      <c r="E220" s="2"/>
      <c r="F220" s="2"/>
      <c r="G220" s="2"/>
    </row>
    <row r="221" spans="4:7" ht="15.75" customHeight="1" x14ac:dyDescent="0.35">
      <c r="D221" s="2"/>
      <c r="E221" s="2"/>
      <c r="F221" s="2"/>
      <c r="G221" s="2"/>
    </row>
    <row r="222" spans="4:7" ht="15.75" customHeight="1" x14ac:dyDescent="0.35">
      <c r="D222" s="2"/>
      <c r="E222" s="2"/>
      <c r="F222" s="2"/>
      <c r="G222" s="2"/>
    </row>
    <row r="223" spans="4:7" ht="15.75" customHeight="1" x14ac:dyDescent="0.35">
      <c r="D223" s="2"/>
      <c r="E223" s="2"/>
      <c r="F223" s="2"/>
      <c r="G223" s="2"/>
    </row>
    <row r="224" spans="4:7" ht="15.75" customHeight="1" x14ac:dyDescent="0.35">
      <c r="D224" s="2"/>
      <c r="E224" s="2"/>
      <c r="F224" s="2"/>
      <c r="G224" s="2"/>
    </row>
    <row r="225" spans="4:7" ht="15.75" customHeight="1" x14ac:dyDescent="0.35">
      <c r="D225" s="2"/>
      <c r="E225" s="2"/>
      <c r="F225" s="2"/>
      <c r="G225" s="2"/>
    </row>
    <row r="226" spans="4:7" ht="15.75" customHeight="1" x14ac:dyDescent="0.35">
      <c r="D226" s="2"/>
      <c r="E226" s="2"/>
      <c r="F226" s="2"/>
      <c r="G226" s="2"/>
    </row>
    <row r="227" spans="4:7" ht="15.75" customHeight="1" x14ac:dyDescent="0.35">
      <c r="D227" s="2"/>
      <c r="E227" s="2"/>
      <c r="F227" s="2"/>
      <c r="G227" s="2"/>
    </row>
    <row r="228" spans="4:7" ht="15.75" customHeight="1" x14ac:dyDescent="0.35">
      <c r="D228" s="2"/>
      <c r="E228" s="2"/>
      <c r="F228" s="2"/>
      <c r="G228" s="2"/>
    </row>
    <row r="229" spans="4:7" ht="15.75" customHeight="1" x14ac:dyDescent="0.35">
      <c r="D229" s="2"/>
      <c r="E229" s="2"/>
      <c r="F229" s="2"/>
      <c r="G229" s="2"/>
    </row>
    <row r="230" spans="4:7" ht="15.75" customHeight="1" x14ac:dyDescent="0.35">
      <c r="D230" s="2"/>
      <c r="E230" s="2"/>
      <c r="F230" s="2"/>
      <c r="G230" s="2"/>
    </row>
    <row r="231" spans="4:7" ht="15.75" customHeight="1" x14ac:dyDescent="0.35">
      <c r="D231" s="2"/>
      <c r="E231" s="2"/>
      <c r="F231" s="2"/>
      <c r="G231" s="2"/>
    </row>
    <row r="232" spans="4:7" ht="15.75" customHeight="1" x14ac:dyDescent="0.35">
      <c r="D232" s="2"/>
      <c r="E232" s="2"/>
      <c r="F232" s="2"/>
      <c r="G232" s="2"/>
    </row>
    <row r="233" spans="4:7" ht="15.75" customHeight="1" x14ac:dyDescent="0.35">
      <c r="D233" s="2"/>
      <c r="E233" s="2"/>
      <c r="F233" s="2"/>
      <c r="G233" s="2"/>
    </row>
    <row r="234" spans="4:7" ht="15.75" customHeight="1" x14ac:dyDescent="0.35">
      <c r="D234" s="2"/>
      <c r="E234" s="2"/>
      <c r="F234" s="2"/>
      <c r="G234" s="2"/>
    </row>
    <row r="235" spans="4:7" ht="15.75" customHeight="1" x14ac:dyDescent="0.35">
      <c r="D235" s="2"/>
      <c r="E235" s="2"/>
      <c r="F235" s="2"/>
      <c r="G235" s="2"/>
    </row>
    <row r="236" spans="4:7" ht="15.75" customHeight="1" x14ac:dyDescent="0.35">
      <c r="D236" s="2"/>
      <c r="E236" s="2"/>
      <c r="F236" s="2"/>
      <c r="G236" s="2"/>
    </row>
    <row r="237" spans="4:7" ht="15.75" customHeight="1" x14ac:dyDescent="0.35">
      <c r="D237" s="2"/>
      <c r="E237" s="2"/>
      <c r="F237" s="2"/>
      <c r="G237" s="2"/>
    </row>
    <row r="238" spans="4:7" ht="15.75" customHeight="1" x14ac:dyDescent="0.35">
      <c r="D238" s="2"/>
      <c r="E238" s="2"/>
      <c r="F238" s="2"/>
      <c r="G238" s="2"/>
    </row>
    <row r="239" spans="4:7" ht="15.75" customHeight="1" x14ac:dyDescent="0.35">
      <c r="D239" s="2"/>
      <c r="E239" s="2"/>
      <c r="F239" s="2"/>
      <c r="G239" s="2"/>
    </row>
    <row r="240" spans="4:7" ht="15.75" customHeight="1" x14ac:dyDescent="0.35">
      <c r="D240" s="2"/>
      <c r="E240" s="2"/>
      <c r="F240" s="2"/>
      <c r="G240" s="2"/>
    </row>
    <row r="241" spans="4:7" ht="15.75" customHeight="1" x14ac:dyDescent="0.35">
      <c r="D241" s="2"/>
      <c r="E241" s="2"/>
      <c r="F241" s="2"/>
      <c r="G241" s="2"/>
    </row>
    <row r="242" spans="4:7" ht="15.75" customHeight="1" x14ac:dyDescent="0.35">
      <c r="D242" s="2"/>
      <c r="E242" s="2"/>
      <c r="F242" s="2"/>
      <c r="G242" s="2"/>
    </row>
    <row r="243" spans="4:7" ht="15.75" customHeight="1" x14ac:dyDescent="0.35">
      <c r="D243" s="2"/>
      <c r="E243" s="2"/>
      <c r="F243" s="2"/>
      <c r="G243" s="2"/>
    </row>
    <row r="244" spans="4:7" ht="15.75" customHeight="1" x14ac:dyDescent="0.35">
      <c r="D244" s="2"/>
      <c r="E244" s="2"/>
      <c r="F244" s="2"/>
      <c r="G244" s="2"/>
    </row>
    <row r="245" spans="4:7" ht="15.75" customHeight="1" x14ac:dyDescent="0.35">
      <c r="D245" s="2"/>
      <c r="E245" s="2"/>
      <c r="F245" s="2"/>
      <c r="G245" s="2"/>
    </row>
    <row r="246" spans="4:7" ht="15.75" customHeight="1" x14ac:dyDescent="0.35">
      <c r="D246" s="2"/>
      <c r="E246" s="2"/>
      <c r="F246" s="2"/>
      <c r="G246" s="2"/>
    </row>
    <row r="247" spans="4:7" ht="15.75" customHeight="1" x14ac:dyDescent="0.35">
      <c r="D247" s="2"/>
      <c r="E247" s="2"/>
      <c r="F247" s="2"/>
      <c r="G247" s="2"/>
    </row>
    <row r="248" spans="4:7" ht="15.75" customHeight="1" x14ac:dyDescent="0.35">
      <c r="D248" s="2"/>
      <c r="E248" s="2"/>
      <c r="F248" s="2"/>
      <c r="G248" s="2"/>
    </row>
    <row r="249" spans="4:7" ht="15.75" customHeight="1" x14ac:dyDescent="0.35">
      <c r="D249" s="2"/>
      <c r="E249" s="2"/>
      <c r="F249" s="2"/>
      <c r="G249" s="2"/>
    </row>
    <row r="250" spans="4:7" ht="15.75" customHeight="1" x14ac:dyDescent="0.35">
      <c r="D250" s="2"/>
      <c r="E250" s="2"/>
      <c r="F250" s="2"/>
      <c r="G250" s="2"/>
    </row>
    <row r="251" spans="4:7" ht="15.75" customHeight="1" x14ac:dyDescent="0.35">
      <c r="D251" s="2"/>
      <c r="E251" s="2"/>
      <c r="F251" s="2"/>
      <c r="G251" s="2"/>
    </row>
    <row r="252" spans="4:7" ht="15.75" customHeight="1" x14ac:dyDescent="0.35">
      <c r="D252" s="2"/>
      <c r="E252" s="2"/>
      <c r="F252" s="2"/>
      <c r="G252" s="2"/>
    </row>
    <row r="253" spans="4:7" ht="15.75" customHeight="1" x14ac:dyDescent="0.35">
      <c r="D253" s="2"/>
      <c r="E253" s="2"/>
      <c r="F253" s="2"/>
      <c r="G253" s="2"/>
    </row>
    <row r="254" spans="4:7" ht="15.75" customHeight="1" x14ac:dyDescent="0.35">
      <c r="D254" s="2"/>
      <c r="E254" s="2"/>
      <c r="F254" s="2"/>
      <c r="G254" s="2"/>
    </row>
    <row r="255" spans="4:7" ht="15.75" customHeight="1" x14ac:dyDescent="0.35">
      <c r="D255" s="2"/>
      <c r="E255" s="2"/>
      <c r="F255" s="2"/>
      <c r="G255" s="2"/>
    </row>
    <row r="256" spans="4:7" ht="15.75" customHeight="1" x14ac:dyDescent="0.35">
      <c r="D256" s="2"/>
      <c r="E256" s="2"/>
      <c r="F256" s="2"/>
      <c r="G256" s="2"/>
    </row>
    <row r="257" spans="4:7" ht="15.75" customHeight="1" x14ac:dyDescent="0.35">
      <c r="D257" s="2"/>
      <c r="E257" s="2"/>
      <c r="F257" s="2"/>
      <c r="G257" s="2"/>
    </row>
    <row r="258" spans="4:7" ht="15.75" customHeight="1" x14ac:dyDescent="0.35">
      <c r="D258" s="2"/>
      <c r="E258" s="2"/>
      <c r="F258" s="2"/>
      <c r="G258" s="2"/>
    </row>
    <row r="259" spans="4:7" ht="15.75" customHeight="1" x14ac:dyDescent="0.35">
      <c r="D259" s="2"/>
      <c r="E259" s="2"/>
      <c r="F259" s="2"/>
      <c r="G259" s="2"/>
    </row>
    <row r="260" spans="4:7" ht="15.75" customHeight="1" x14ac:dyDescent="0.35">
      <c r="D260" s="2"/>
      <c r="E260" s="2"/>
      <c r="F260" s="2"/>
      <c r="G260" s="2"/>
    </row>
    <row r="261" spans="4:7" ht="15.75" customHeight="1" x14ac:dyDescent="0.35">
      <c r="D261" s="2"/>
      <c r="E261" s="2"/>
      <c r="F261" s="2"/>
      <c r="G261" s="2"/>
    </row>
    <row r="262" spans="4:7" ht="15.75" customHeight="1" x14ac:dyDescent="0.35">
      <c r="D262" s="2"/>
      <c r="E262" s="2"/>
      <c r="F262" s="2"/>
      <c r="G262" s="2"/>
    </row>
    <row r="263" spans="4:7" ht="15.75" customHeight="1" x14ac:dyDescent="0.35">
      <c r="D263" s="2"/>
      <c r="E263" s="2"/>
      <c r="F263" s="2"/>
      <c r="G263" s="2"/>
    </row>
    <row r="264" spans="4:7" ht="15.75" customHeight="1" x14ac:dyDescent="0.35">
      <c r="D264" s="2"/>
      <c r="E264" s="2"/>
      <c r="F264" s="2"/>
      <c r="G264" s="2"/>
    </row>
    <row r="265" spans="4:7" ht="15.75" customHeight="1" x14ac:dyDescent="0.35">
      <c r="D265" s="2"/>
      <c r="E265" s="2"/>
      <c r="F265" s="2"/>
      <c r="G265" s="2"/>
    </row>
    <row r="266" spans="4:7" ht="15.75" customHeight="1" x14ac:dyDescent="0.35">
      <c r="D266" s="2"/>
      <c r="E266" s="2"/>
      <c r="F266" s="2"/>
      <c r="G266" s="2"/>
    </row>
    <row r="267" spans="4:7" ht="15.75" customHeight="1" x14ac:dyDescent="0.35">
      <c r="D267" s="2"/>
      <c r="E267" s="2"/>
      <c r="F267" s="2"/>
      <c r="G267" s="2"/>
    </row>
    <row r="268" spans="4:7" ht="15.75" customHeight="1" x14ac:dyDescent="0.35">
      <c r="D268" s="2"/>
      <c r="E268" s="2"/>
      <c r="F268" s="2"/>
      <c r="G268" s="2"/>
    </row>
    <row r="269" spans="4:7" ht="15.75" customHeight="1" x14ac:dyDescent="0.35">
      <c r="D269" s="2"/>
      <c r="E269" s="2"/>
      <c r="F269" s="2"/>
      <c r="G269" s="2"/>
    </row>
    <row r="270" spans="4:7" ht="15.75" customHeight="1" x14ac:dyDescent="0.35">
      <c r="D270" s="2"/>
      <c r="E270" s="2"/>
      <c r="F270" s="2"/>
      <c r="G270" s="2"/>
    </row>
    <row r="271" spans="4:7" ht="15.75" customHeight="1" x14ac:dyDescent="0.35">
      <c r="D271" s="2"/>
      <c r="E271" s="2"/>
      <c r="F271" s="2"/>
      <c r="G271" s="2"/>
    </row>
    <row r="272" spans="4:7" ht="15.75" customHeight="1" x14ac:dyDescent="0.35">
      <c r="D272" s="2"/>
      <c r="E272" s="2"/>
      <c r="F272" s="2"/>
      <c r="G272" s="2"/>
    </row>
    <row r="273" spans="4:7" ht="15.75" customHeight="1" x14ac:dyDescent="0.35">
      <c r="D273" s="2"/>
      <c r="E273" s="2"/>
      <c r="F273" s="2"/>
      <c r="G273" s="2"/>
    </row>
    <row r="274" spans="4:7" ht="15.75" customHeight="1" x14ac:dyDescent="0.35">
      <c r="D274" s="2"/>
      <c r="E274" s="2"/>
      <c r="F274" s="2"/>
      <c r="G274" s="2"/>
    </row>
    <row r="275" spans="4:7" ht="15.75" customHeight="1" x14ac:dyDescent="0.35">
      <c r="D275" s="2"/>
      <c r="E275" s="2"/>
      <c r="F275" s="2"/>
      <c r="G275" s="2"/>
    </row>
    <row r="276" spans="4:7" ht="15.75" customHeight="1" x14ac:dyDescent="0.35">
      <c r="D276" s="2"/>
      <c r="E276" s="2"/>
      <c r="F276" s="2"/>
      <c r="G276" s="2"/>
    </row>
    <row r="277" spans="4:7" ht="15.75" customHeight="1" x14ac:dyDescent="0.35">
      <c r="D277" s="2"/>
      <c r="E277" s="2"/>
      <c r="F277" s="2"/>
      <c r="G277" s="2"/>
    </row>
    <row r="278" spans="4:7" ht="15.75" customHeight="1" x14ac:dyDescent="0.35">
      <c r="D278" s="2"/>
      <c r="E278" s="2"/>
      <c r="F278" s="2"/>
      <c r="G278" s="2"/>
    </row>
    <row r="279" spans="4:7" ht="15.75" customHeight="1" x14ac:dyDescent="0.35">
      <c r="D279" s="2"/>
      <c r="E279" s="2"/>
      <c r="F279" s="2"/>
      <c r="G279" s="2"/>
    </row>
    <row r="280" spans="4:7" ht="15.75" customHeight="1" x14ac:dyDescent="0.35">
      <c r="D280" s="2"/>
      <c r="E280" s="2"/>
      <c r="F280" s="2"/>
      <c r="G280" s="2"/>
    </row>
    <row r="281" spans="4:7" ht="15.75" customHeight="1" x14ac:dyDescent="0.35">
      <c r="D281" s="2"/>
      <c r="E281" s="2"/>
      <c r="F281" s="2"/>
      <c r="G281" s="2"/>
    </row>
    <row r="282" spans="4:7" ht="15.75" customHeight="1" x14ac:dyDescent="0.35">
      <c r="D282" s="2"/>
      <c r="E282" s="2"/>
      <c r="F282" s="2"/>
      <c r="G282" s="2"/>
    </row>
    <row r="283" spans="4:7" ht="15.75" customHeight="1" x14ac:dyDescent="0.35">
      <c r="D283" s="2"/>
      <c r="E283" s="2"/>
      <c r="F283" s="2"/>
      <c r="G283" s="2"/>
    </row>
    <row r="284" spans="4:7" ht="15.75" customHeight="1" x14ac:dyDescent="0.35">
      <c r="D284" s="2"/>
      <c r="E284" s="2"/>
      <c r="F284" s="2"/>
      <c r="G284" s="2"/>
    </row>
    <row r="285" spans="4:7" ht="15.75" customHeight="1" x14ac:dyDescent="0.35">
      <c r="D285" s="2"/>
      <c r="E285" s="2"/>
      <c r="F285" s="2"/>
      <c r="G285" s="2"/>
    </row>
    <row r="286" spans="4:7" ht="15.75" customHeight="1" x14ac:dyDescent="0.35">
      <c r="D286" s="2"/>
      <c r="E286" s="2"/>
      <c r="F286" s="2"/>
      <c r="G286" s="2"/>
    </row>
    <row r="287" spans="4:7" ht="15.75" customHeight="1" x14ac:dyDescent="0.35">
      <c r="D287" s="2"/>
      <c r="E287" s="2"/>
      <c r="F287" s="2"/>
      <c r="G287" s="2"/>
    </row>
    <row r="288" spans="4:7" ht="15.75" customHeight="1" x14ac:dyDescent="0.35">
      <c r="D288" s="2"/>
      <c r="E288" s="2"/>
      <c r="F288" s="2"/>
      <c r="G288" s="2"/>
    </row>
    <row r="289" spans="4:7" ht="15.75" customHeight="1" x14ac:dyDescent="0.35">
      <c r="D289" s="2"/>
      <c r="E289" s="2"/>
      <c r="F289" s="2"/>
      <c r="G289" s="2"/>
    </row>
    <row r="290" spans="4:7" ht="15.75" customHeight="1" x14ac:dyDescent="0.35">
      <c r="D290" s="2"/>
      <c r="E290" s="2"/>
      <c r="F290" s="2"/>
      <c r="G290" s="2"/>
    </row>
    <row r="291" spans="4:7" ht="15.75" customHeight="1" x14ac:dyDescent="0.35">
      <c r="D291" s="2"/>
      <c r="E291" s="2"/>
      <c r="F291" s="2"/>
      <c r="G291" s="2"/>
    </row>
    <row r="292" spans="4:7" ht="15.75" customHeight="1" x14ac:dyDescent="0.35">
      <c r="D292" s="2"/>
      <c r="E292" s="2"/>
      <c r="F292" s="2"/>
      <c r="G292" s="2"/>
    </row>
    <row r="293" spans="4:7" ht="15.75" customHeight="1" x14ac:dyDescent="0.35">
      <c r="D293" s="2"/>
      <c r="E293" s="2"/>
      <c r="F293" s="2"/>
      <c r="G293" s="2"/>
    </row>
    <row r="294" spans="4:7" ht="15.75" customHeight="1" x14ac:dyDescent="0.35">
      <c r="D294" s="2"/>
      <c r="E294" s="2"/>
      <c r="F294" s="2"/>
      <c r="G294" s="2"/>
    </row>
    <row r="295" spans="4:7" ht="15.75" customHeight="1" x14ac:dyDescent="0.35">
      <c r="D295" s="2"/>
      <c r="E295" s="2"/>
      <c r="F295" s="2"/>
      <c r="G295" s="2"/>
    </row>
    <row r="296" spans="4:7" ht="15.75" customHeight="1" x14ac:dyDescent="0.35">
      <c r="D296" s="2"/>
      <c r="E296" s="2"/>
      <c r="F296" s="2"/>
      <c r="G296" s="2"/>
    </row>
    <row r="297" spans="4:7" ht="15.75" customHeight="1" x14ac:dyDescent="0.35">
      <c r="D297" s="2"/>
      <c r="E297" s="2"/>
      <c r="F297" s="2"/>
      <c r="G297" s="2"/>
    </row>
    <row r="298" spans="4:7" ht="15.75" customHeight="1" x14ac:dyDescent="0.35">
      <c r="D298" s="2"/>
      <c r="E298" s="2"/>
      <c r="F298" s="2"/>
      <c r="G298" s="2"/>
    </row>
    <row r="299" spans="4:7" ht="15.75" customHeight="1" x14ac:dyDescent="0.35">
      <c r="D299" s="2"/>
      <c r="E299" s="2"/>
      <c r="F299" s="2"/>
      <c r="G299" s="2"/>
    </row>
    <row r="300" spans="4:7" ht="15.75" customHeight="1" x14ac:dyDescent="0.35">
      <c r="D300" s="2"/>
      <c r="E300" s="2"/>
      <c r="F300" s="2"/>
      <c r="G300" s="2"/>
    </row>
    <row r="301" spans="4:7" ht="15.75" customHeight="1" x14ac:dyDescent="0.35">
      <c r="D301" s="2"/>
      <c r="E301" s="2"/>
      <c r="F301" s="2"/>
      <c r="G301" s="2"/>
    </row>
    <row r="302" spans="4:7" ht="15.75" customHeight="1" x14ac:dyDescent="0.35">
      <c r="D302" s="2"/>
      <c r="E302" s="2"/>
      <c r="F302" s="2"/>
      <c r="G302" s="2"/>
    </row>
    <row r="303" spans="4:7" ht="15.75" customHeight="1" x14ac:dyDescent="0.35">
      <c r="D303" s="2"/>
      <c r="E303" s="2"/>
      <c r="F303" s="2"/>
      <c r="G303" s="2"/>
    </row>
    <row r="304" spans="4:7" ht="15.75" customHeight="1" x14ac:dyDescent="0.35">
      <c r="D304" s="2"/>
      <c r="E304" s="2"/>
      <c r="F304" s="2"/>
      <c r="G304" s="2"/>
    </row>
    <row r="305" spans="4:7" ht="15.75" customHeight="1" x14ac:dyDescent="0.35">
      <c r="D305" s="2"/>
      <c r="E305" s="2"/>
      <c r="F305" s="2"/>
      <c r="G305" s="2"/>
    </row>
    <row r="306" spans="4:7" ht="15.75" customHeight="1" x14ac:dyDescent="0.35">
      <c r="D306" s="2"/>
      <c r="E306" s="2"/>
      <c r="F306" s="2"/>
      <c r="G306" s="2"/>
    </row>
    <row r="307" spans="4:7" ht="15.75" customHeight="1" x14ac:dyDescent="0.35">
      <c r="D307" s="2"/>
      <c r="E307" s="2"/>
      <c r="F307" s="2"/>
      <c r="G307" s="2"/>
    </row>
    <row r="308" spans="4:7" ht="15.75" customHeight="1" x14ac:dyDescent="0.35">
      <c r="D308" s="2"/>
      <c r="E308" s="2"/>
      <c r="F308" s="2"/>
      <c r="G308" s="2"/>
    </row>
    <row r="309" spans="4:7" ht="15.75" customHeight="1" x14ac:dyDescent="0.35">
      <c r="D309" s="2"/>
      <c r="E309" s="2"/>
      <c r="F309" s="2"/>
      <c r="G309" s="2"/>
    </row>
    <row r="310" spans="4:7" ht="15.75" customHeight="1" x14ac:dyDescent="0.35">
      <c r="D310" s="2"/>
      <c r="E310" s="2"/>
      <c r="F310" s="2"/>
      <c r="G310" s="2"/>
    </row>
    <row r="311" spans="4:7" ht="15.75" customHeight="1" x14ac:dyDescent="0.35">
      <c r="D311" s="2"/>
      <c r="E311" s="2"/>
      <c r="F311" s="2"/>
      <c r="G311" s="2"/>
    </row>
    <row r="312" spans="4:7" ht="15.75" customHeight="1" x14ac:dyDescent="0.35">
      <c r="D312" s="2"/>
      <c r="E312" s="2"/>
      <c r="F312" s="2"/>
      <c r="G312" s="2"/>
    </row>
    <row r="313" spans="4:7" ht="15.75" customHeight="1" x14ac:dyDescent="0.35">
      <c r="D313" s="2"/>
      <c r="E313" s="2"/>
      <c r="F313" s="2"/>
      <c r="G313" s="2"/>
    </row>
    <row r="314" spans="4:7" ht="15.75" customHeight="1" x14ac:dyDescent="0.35">
      <c r="D314" s="2"/>
      <c r="E314" s="2"/>
      <c r="F314" s="2"/>
      <c r="G314" s="2"/>
    </row>
    <row r="315" spans="4:7" ht="15.75" customHeight="1" x14ac:dyDescent="0.35">
      <c r="D315" s="2"/>
      <c r="E315" s="2"/>
      <c r="F315" s="2"/>
      <c r="G315" s="2"/>
    </row>
    <row r="316" spans="4:7" ht="15.75" customHeight="1" x14ac:dyDescent="0.35">
      <c r="D316" s="2"/>
      <c r="E316" s="2"/>
      <c r="F316" s="2"/>
      <c r="G316" s="2"/>
    </row>
    <row r="317" spans="4:7" ht="15.75" customHeight="1" x14ac:dyDescent="0.35">
      <c r="D317" s="2"/>
      <c r="E317" s="2"/>
      <c r="F317" s="2"/>
      <c r="G317" s="2"/>
    </row>
    <row r="318" spans="4:7" ht="15.75" customHeight="1" x14ac:dyDescent="0.35">
      <c r="D318" s="2"/>
      <c r="E318" s="2"/>
      <c r="F318" s="2"/>
      <c r="G318" s="2"/>
    </row>
    <row r="319" spans="4:7" ht="15.75" customHeight="1" x14ac:dyDescent="0.35">
      <c r="D319" s="2"/>
      <c r="E319" s="2"/>
      <c r="F319" s="2"/>
      <c r="G319" s="2"/>
    </row>
    <row r="320" spans="4:7" ht="15.75" customHeight="1" x14ac:dyDescent="0.35">
      <c r="D320" s="2"/>
      <c r="E320" s="2"/>
      <c r="F320" s="2"/>
      <c r="G320" s="2"/>
    </row>
    <row r="321" spans="4:7" ht="15.75" customHeight="1" x14ac:dyDescent="0.35">
      <c r="D321" s="2"/>
      <c r="E321" s="2"/>
      <c r="F321" s="2"/>
      <c r="G321" s="2"/>
    </row>
    <row r="322" spans="4:7" ht="15.75" customHeight="1" x14ac:dyDescent="0.35">
      <c r="D322" s="2"/>
      <c r="E322" s="2"/>
      <c r="F322" s="2"/>
      <c r="G322" s="2"/>
    </row>
    <row r="323" spans="4:7" ht="15.75" customHeight="1" x14ac:dyDescent="0.35">
      <c r="D323" s="2"/>
      <c r="E323" s="2"/>
      <c r="F323" s="2"/>
      <c r="G323" s="2"/>
    </row>
    <row r="324" spans="4:7" ht="15.75" customHeight="1" x14ac:dyDescent="0.35">
      <c r="D324" s="2"/>
      <c r="E324" s="2"/>
      <c r="F324" s="2"/>
      <c r="G324" s="2"/>
    </row>
    <row r="325" spans="4:7" ht="15.75" customHeight="1" x14ac:dyDescent="0.35">
      <c r="D325" s="2"/>
      <c r="E325" s="2"/>
      <c r="F325" s="2"/>
      <c r="G325" s="2"/>
    </row>
    <row r="326" spans="4:7" ht="15.75" customHeight="1" x14ac:dyDescent="0.35">
      <c r="D326" s="2"/>
      <c r="E326" s="2"/>
      <c r="F326" s="2"/>
      <c r="G326" s="2"/>
    </row>
    <row r="327" spans="4:7" ht="15.75" customHeight="1" x14ac:dyDescent="0.35">
      <c r="D327" s="2"/>
      <c r="E327" s="2"/>
      <c r="F327" s="2"/>
      <c r="G327" s="2"/>
    </row>
    <row r="328" spans="4:7" ht="15.75" customHeight="1" x14ac:dyDescent="0.35">
      <c r="D328" s="2"/>
      <c r="E328" s="2"/>
      <c r="F328" s="2"/>
      <c r="G328" s="2"/>
    </row>
    <row r="329" spans="4:7" ht="15.75" customHeight="1" x14ac:dyDescent="0.35">
      <c r="D329" s="2"/>
      <c r="E329" s="2"/>
      <c r="F329" s="2"/>
      <c r="G329" s="2"/>
    </row>
    <row r="330" spans="4:7" ht="15.75" customHeight="1" x14ac:dyDescent="0.35">
      <c r="D330" s="2"/>
      <c r="E330" s="2"/>
      <c r="F330" s="2"/>
      <c r="G330" s="2"/>
    </row>
    <row r="331" spans="4:7" ht="15.75" customHeight="1" x14ac:dyDescent="0.35">
      <c r="D331" s="2"/>
      <c r="E331" s="2"/>
      <c r="F331" s="2"/>
      <c r="G331" s="2"/>
    </row>
    <row r="332" spans="4:7" ht="15.75" customHeight="1" x14ac:dyDescent="0.35">
      <c r="D332" s="2"/>
      <c r="E332" s="2"/>
      <c r="F332" s="2"/>
      <c r="G332" s="2"/>
    </row>
    <row r="333" spans="4:7" ht="15.75" customHeight="1" x14ac:dyDescent="0.35">
      <c r="D333" s="2"/>
      <c r="E333" s="2"/>
      <c r="F333" s="2"/>
      <c r="G333" s="2"/>
    </row>
    <row r="334" spans="4:7" ht="15.75" customHeight="1" x14ac:dyDescent="0.35">
      <c r="D334" s="2"/>
      <c r="E334" s="2"/>
      <c r="F334" s="2"/>
      <c r="G334" s="2"/>
    </row>
    <row r="335" spans="4:7" ht="15.75" customHeight="1" x14ac:dyDescent="0.35">
      <c r="D335" s="2"/>
      <c r="E335" s="2"/>
      <c r="F335" s="2"/>
      <c r="G335" s="2"/>
    </row>
    <row r="336" spans="4:7" ht="15.75" customHeight="1" x14ac:dyDescent="0.35">
      <c r="D336" s="2"/>
      <c r="E336" s="2"/>
      <c r="F336" s="2"/>
      <c r="G336" s="2"/>
    </row>
    <row r="337" spans="4:7" ht="15.75" customHeight="1" x14ac:dyDescent="0.35">
      <c r="D337" s="2"/>
      <c r="E337" s="2"/>
      <c r="F337" s="2"/>
      <c r="G337" s="2"/>
    </row>
    <row r="338" spans="4:7" ht="15.75" customHeight="1" x14ac:dyDescent="0.35">
      <c r="D338" s="2"/>
      <c r="E338" s="2"/>
      <c r="F338" s="2"/>
      <c r="G338" s="2"/>
    </row>
    <row r="339" spans="4:7" ht="15.75" customHeight="1" x14ac:dyDescent="0.35">
      <c r="D339" s="2"/>
      <c r="E339" s="2"/>
      <c r="F339" s="2"/>
      <c r="G339" s="2"/>
    </row>
    <row r="340" spans="4:7" ht="15.75" customHeight="1" x14ac:dyDescent="0.35">
      <c r="D340" s="2"/>
      <c r="E340" s="2"/>
      <c r="F340" s="2"/>
      <c r="G340" s="2"/>
    </row>
    <row r="341" spans="4:7" ht="15.75" customHeight="1" x14ac:dyDescent="0.35">
      <c r="D341" s="2"/>
      <c r="E341" s="2"/>
      <c r="F341" s="2"/>
      <c r="G341" s="2"/>
    </row>
    <row r="342" spans="4:7" ht="15.75" customHeight="1" x14ac:dyDescent="0.35">
      <c r="D342" s="2"/>
      <c r="E342" s="2"/>
      <c r="F342" s="2"/>
      <c r="G342" s="2"/>
    </row>
    <row r="343" spans="4:7" ht="15.75" customHeight="1" x14ac:dyDescent="0.35">
      <c r="D343" s="2"/>
      <c r="E343" s="2"/>
      <c r="F343" s="2"/>
      <c r="G343" s="2"/>
    </row>
    <row r="344" spans="4:7" ht="15.75" customHeight="1" x14ac:dyDescent="0.35">
      <c r="D344" s="2"/>
      <c r="E344" s="2"/>
      <c r="F344" s="2"/>
      <c r="G344" s="2"/>
    </row>
    <row r="345" spans="4:7" ht="15.75" customHeight="1" x14ac:dyDescent="0.35">
      <c r="D345" s="2"/>
      <c r="E345" s="2"/>
      <c r="F345" s="2"/>
      <c r="G345" s="2"/>
    </row>
    <row r="346" spans="4:7" ht="15.75" customHeight="1" x14ac:dyDescent="0.35">
      <c r="D346" s="2"/>
      <c r="E346" s="2"/>
      <c r="F346" s="2"/>
      <c r="G346" s="2"/>
    </row>
    <row r="347" spans="4:7" ht="15.75" customHeight="1" x14ac:dyDescent="0.35">
      <c r="D347" s="2"/>
      <c r="E347" s="2"/>
      <c r="F347" s="2"/>
      <c r="G347" s="2"/>
    </row>
    <row r="348" spans="4:7" ht="15.75" customHeight="1" x14ac:dyDescent="0.35">
      <c r="D348" s="2"/>
      <c r="E348" s="2"/>
      <c r="F348" s="2"/>
      <c r="G348" s="2"/>
    </row>
    <row r="349" spans="4:7" ht="15.75" customHeight="1" x14ac:dyDescent="0.35">
      <c r="D349" s="2"/>
      <c r="E349" s="2"/>
      <c r="F349" s="2"/>
      <c r="G349" s="2"/>
    </row>
    <row r="350" spans="4:7" ht="15.75" customHeight="1" x14ac:dyDescent="0.35">
      <c r="D350" s="2"/>
      <c r="E350" s="2"/>
      <c r="F350" s="2"/>
      <c r="G350" s="2"/>
    </row>
    <row r="351" spans="4:7" ht="15.75" customHeight="1" x14ac:dyDescent="0.35">
      <c r="D351" s="2"/>
      <c r="E351" s="2"/>
      <c r="F351" s="2"/>
      <c r="G351" s="2"/>
    </row>
    <row r="352" spans="4:7" ht="15.75" customHeight="1" x14ac:dyDescent="0.35">
      <c r="D352" s="2"/>
      <c r="E352" s="2"/>
      <c r="F352" s="2"/>
      <c r="G352" s="2"/>
    </row>
    <row r="353" spans="4:7" ht="15.75" customHeight="1" x14ac:dyDescent="0.35">
      <c r="D353" s="2"/>
      <c r="E353" s="2"/>
      <c r="F353" s="2"/>
      <c r="G353" s="2"/>
    </row>
    <row r="354" spans="4:7" ht="15.75" customHeight="1" x14ac:dyDescent="0.35">
      <c r="D354" s="2"/>
      <c r="E354" s="2"/>
      <c r="F354" s="2"/>
      <c r="G354" s="2"/>
    </row>
    <row r="355" spans="4:7" ht="15.75" customHeight="1" x14ac:dyDescent="0.35">
      <c r="D355" s="2"/>
      <c r="E355" s="2"/>
      <c r="F355" s="2"/>
      <c r="G355" s="2"/>
    </row>
    <row r="356" spans="4:7" ht="15.75" customHeight="1" x14ac:dyDescent="0.35">
      <c r="D356" s="2"/>
      <c r="E356" s="2"/>
      <c r="F356" s="2"/>
      <c r="G356" s="2"/>
    </row>
    <row r="357" spans="4:7" ht="15.75" customHeight="1" x14ac:dyDescent="0.35">
      <c r="D357" s="2"/>
      <c r="E357" s="2"/>
      <c r="F357" s="2"/>
      <c r="G357" s="2"/>
    </row>
    <row r="358" spans="4:7" ht="15.75" customHeight="1" x14ac:dyDescent="0.35">
      <c r="D358" s="2"/>
      <c r="E358" s="2"/>
      <c r="F358" s="2"/>
      <c r="G358" s="2"/>
    </row>
    <row r="359" spans="4:7" ht="15.75" customHeight="1" x14ac:dyDescent="0.35">
      <c r="D359" s="2"/>
      <c r="E359" s="2"/>
      <c r="F359" s="2"/>
      <c r="G359" s="2"/>
    </row>
    <row r="360" spans="4:7" ht="15.75" customHeight="1" x14ac:dyDescent="0.35">
      <c r="D360" s="2"/>
      <c r="E360" s="2"/>
      <c r="F360" s="2"/>
      <c r="G360" s="2"/>
    </row>
    <row r="361" spans="4:7" ht="15.75" customHeight="1" x14ac:dyDescent="0.35">
      <c r="D361" s="2"/>
      <c r="E361" s="2"/>
      <c r="F361" s="2"/>
      <c r="G361" s="2"/>
    </row>
    <row r="362" spans="4:7" ht="15.75" customHeight="1" x14ac:dyDescent="0.35">
      <c r="D362" s="2"/>
      <c r="E362" s="2"/>
      <c r="F362" s="2"/>
      <c r="G362" s="2"/>
    </row>
    <row r="363" spans="4:7" ht="15.75" customHeight="1" x14ac:dyDescent="0.35">
      <c r="D363" s="2"/>
      <c r="E363" s="2"/>
      <c r="F363" s="2"/>
      <c r="G363" s="2"/>
    </row>
    <row r="364" spans="4:7" ht="15.75" customHeight="1" x14ac:dyDescent="0.35">
      <c r="D364" s="2"/>
      <c r="E364" s="2"/>
      <c r="F364" s="2"/>
      <c r="G364" s="2"/>
    </row>
    <row r="365" spans="4:7" ht="15.75" customHeight="1" x14ac:dyDescent="0.35">
      <c r="D365" s="2"/>
      <c r="E365" s="2"/>
      <c r="F365" s="2"/>
      <c r="G365" s="2"/>
    </row>
    <row r="366" spans="4:7" ht="15.75" customHeight="1" x14ac:dyDescent="0.35">
      <c r="D366" s="2"/>
      <c r="E366" s="2"/>
      <c r="F366" s="2"/>
      <c r="G366" s="2"/>
    </row>
    <row r="367" spans="4:7" ht="15.75" customHeight="1" x14ac:dyDescent="0.35">
      <c r="D367" s="2"/>
      <c r="E367" s="2"/>
      <c r="F367" s="2"/>
      <c r="G367" s="2"/>
    </row>
    <row r="368" spans="4:7" ht="15.75" customHeight="1" x14ac:dyDescent="0.35">
      <c r="D368" s="2"/>
      <c r="E368" s="2"/>
      <c r="F368" s="2"/>
      <c r="G368" s="2"/>
    </row>
    <row r="369" spans="4:7" ht="15.75" customHeight="1" x14ac:dyDescent="0.35">
      <c r="D369" s="2"/>
      <c r="E369" s="2"/>
      <c r="F369" s="2"/>
      <c r="G369" s="2"/>
    </row>
    <row r="370" spans="4:7" ht="15.75" customHeight="1" x14ac:dyDescent="0.35">
      <c r="D370" s="2"/>
      <c r="E370" s="2"/>
      <c r="F370" s="2"/>
      <c r="G370" s="2"/>
    </row>
    <row r="371" spans="4:7" ht="15.75" customHeight="1" x14ac:dyDescent="0.35">
      <c r="D371" s="2"/>
      <c r="E371" s="2"/>
      <c r="F371" s="2"/>
      <c r="G371" s="2"/>
    </row>
    <row r="372" spans="4:7" ht="15.75" customHeight="1" x14ac:dyDescent="0.35">
      <c r="D372" s="2"/>
      <c r="E372" s="2"/>
      <c r="F372" s="2"/>
      <c r="G372" s="2"/>
    </row>
    <row r="373" spans="4:7" ht="15.75" customHeight="1" x14ac:dyDescent="0.35">
      <c r="D373" s="2"/>
      <c r="E373" s="2"/>
      <c r="F373" s="2"/>
      <c r="G373" s="2"/>
    </row>
    <row r="374" spans="4:7" ht="15.75" customHeight="1" x14ac:dyDescent="0.35">
      <c r="D374" s="2"/>
      <c r="E374" s="2"/>
      <c r="F374" s="2"/>
      <c r="G374" s="2"/>
    </row>
    <row r="375" spans="4:7" ht="15.75" customHeight="1" x14ac:dyDescent="0.35">
      <c r="D375" s="2"/>
      <c r="E375" s="2"/>
      <c r="F375" s="2"/>
      <c r="G375" s="2"/>
    </row>
    <row r="376" spans="4:7" ht="15.75" customHeight="1" x14ac:dyDescent="0.35">
      <c r="D376" s="2"/>
      <c r="E376" s="2"/>
      <c r="F376" s="2"/>
      <c r="G376" s="2"/>
    </row>
    <row r="377" spans="4:7" ht="15.75" customHeight="1" x14ac:dyDescent="0.35">
      <c r="D377" s="2"/>
      <c r="E377" s="2"/>
      <c r="F377" s="2"/>
      <c r="G377" s="2"/>
    </row>
    <row r="378" spans="4:7" ht="15.75" customHeight="1" x14ac:dyDescent="0.35">
      <c r="D378" s="2"/>
      <c r="E378" s="2"/>
      <c r="F378" s="2"/>
      <c r="G378" s="2"/>
    </row>
    <row r="379" spans="4:7" ht="15.75" customHeight="1" x14ac:dyDescent="0.35">
      <c r="D379" s="2"/>
      <c r="E379" s="2"/>
      <c r="F379" s="2"/>
      <c r="G379" s="2"/>
    </row>
    <row r="380" spans="4:7" ht="15.75" customHeight="1" x14ac:dyDescent="0.35">
      <c r="D380" s="2"/>
      <c r="E380" s="2"/>
      <c r="F380" s="2"/>
      <c r="G380" s="2"/>
    </row>
    <row r="381" spans="4:7" ht="15.75" customHeight="1" x14ac:dyDescent="0.35">
      <c r="D381" s="2"/>
      <c r="E381" s="2"/>
      <c r="F381" s="2"/>
      <c r="G381" s="2"/>
    </row>
    <row r="382" spans="4:7" ht="15.75" customHeight="1" x14ac:dyDescent="0.35">
      <c r="D382" s="2"/>
      <c r="E382" s="2"/>
      <c r="F382" s="2"/>
      <c r="G382" s="2"/>
    </row>
    <row r="383" spans="4:7" ht="15.75" customHeight="1" x14ac:dyDescent="0.35">
      <c r="D383" s="2"/>
      <c r="E383" s="2"/>
      <c r="F383" s="2"/>
      <c r="G383" s="2"/>
    </row>
    <row r="384" spans="4:7" ht="15.75" customHeight="1" x14ac:dyDescent="0.35">
      <c r="D384" s="2"/>
      <c r="E384" s="2"/>
      <c r="F384" s="2"/>
      <c r="G384" s="2"/>
    </row>
    <row r="385" spans="4:7" ht="15.75" customHeight="1" x14ac:dyDescent="0.35">
      <c r="D385" s="2"/>
      <c r="E385" s="2"/>
      <c r="F385" s="2"/>
      <c r="G385" s="2"/>
    </row>
    <row r="386" spans="4:7" ht="15.75" customHeight="1" x14ac:dyDescent="0.35">
      <c r="D386" s="2"/>
      <c r="E386" s="2"/>
      <c r="F386" s="2"/>
      <c r="G386" s="2"/>
    </row>
    <row r="387" spans="4:7" ht="15.75" customHeight="1" x14ac:dyDescent="0.35">
      <c r="D387" s="2"/>
      <c r="E387" s="2"/>
      <c r="F387" s="2"/>
      <c r="G387" s="2"/>
    </row>
    <row r="388" spans="4:7" ht="15.75" customHeight="1" x14ac:dyDescent="0.35">
      <c r="D388" s="2"/>
      <c r="E388" s="2"/>
      <c r="F388" s="2"/>
      <c r="G388" s="2"/>
    </row>
    <row r="389" spans="4:7" ht="15.75" customHeight="1" x14ac:dyDescent="0.35">
      <c r="D389" s="2"/>
      <c r="E389" s="2"/>
      <c r="F389" s="2"/>
      <c r="G389" s="2"/>
    </row>
    <row r="390" spans="4:7" ht="15.75" customHeight="1" x14ac:dyDescent="0.35">
      <c r="D390" s="2"/>
      <c r="E390" s="2"/>
      <c r="F390" s="2"/>
      <c r="G390" s="2"/>
    </row>
    <row r="391" spans="4:7" ht="15.75" customHeight="1" x14ac:dyDescent="0.35">
      <c r="D391" s="2"/>
      <c r="E391" s="2"/>
      <c r="F391" s="2"/>
      <c r="G391" s="2"/>
    </row>
    <row r="392" spans="4:7" ht="15.75" customHeight="1" x14ac:dyDescent="0.35">
      <c r="D392" s="2"/>
      <c r="E392" s="2"/>
      <c r="F392" s="2"/>
      <c r="G392" s="2"/>
    </row>
    <row r="393" spans="4:7" ht="15.75" customHeight="1" x14ac:dyDescent="0.35">
      <c r="D393" s="2"/>
      <c r="E393" s="2"/>
      <c r="F393" s="2"/>
      <c r="G393" s="2"/>
    </row>
    <row r="394" spans="4:7" ht="15.75" customHeight="1" x14ac:dyDescent="0.35">
      <c r="D394" s="2"/>
      <c r="E394" s="2"/>
      <c r="F394" s="2"/>
      <c r="G394" s="2"/>
    </row>
    <row r="395" spans="4:7" ht="15.75" customHeight="1" x14ac:dyDescent="0.35">
      <c r="D395" s="2"/>
      <c r="E395" s="2"/>
      <c r="F395" s="2"/>
      <c r="G395" s="2"/>
    </row>
    <row r="396" spans="4:7" ht="15.75" customHeight="1" x14ac:dyDescent="0.35">
      <c r="D396" s="2"/>
      <c r="E396" s="2"/>
      <c r="F396" s="2"/>
      <c r="G396" s="2"/>
    </row>
    <row r="397" spans="4:7" ht="15.75" customHeight="1" x14ac:dyDescent="0.35">
      <c r="D397" s="2"/>
      <c r="E397" s="2"/>
      <c r="F397" s="2"/>
      <c r="G397" s="2"/>
    </row>
    <row r="398" spans="4:7" ht="15.75" customHeight="1" x14ac:dyDescent="0.35">
      <c r="D398" s="2"/>
      <c r="E398" s="2"/>
      <c r="F398" s="2"/>
      <c r="G398" s="2"/>
    </row>
    <row r="399" spans="4:7" ht="15.75" customHeight="1" x14ac:dyDescent="0.35">
      <c r="D399" s="2"/>
      <c r="E399" s="2"/>
      <c r="F399" s="2"/>
      <c r="G399" s="2"/>
    </row>
    <row r="400" spans="4:7" ht="15.75" customHeight="1" x14ac:dyDescent="0.35">
      <c r="D400" s="2"/>
      <c r="E400" s="2"/>
      <c r="F400" s="2"/>
      <c r="G400" s="2"/>
    </row>
    <row r="401" spans="4:7" ht="15.75" customHeight="1" x14ac:dyDescent="0.35">
      <c r="D401" s="2"/>
      <c r="E401" s="2"/>
      <c r="F401" s="2"/>
      <c r="G401" s="2"/>
    </row>
    <row r="402" spans="4:7" ht="15.75" customHeight="1" x14ac:dyDescent="0.35">
      <c r="D402" s="2"/>
      <c r="E402" s="2"/>
      <c r="F402" s="2"/>
      <c r="G402" s="2"/>
    </row>
    <row r="403" spans="4:7" ht="15.75" customHeight="1" x14ac:dyDescent="0.35">
      <c r="D403" s="2"/>
      <c r="E403" s="2"/>
      <c r="F403" s="2"/>
      <c r="G403" s="2"/>
    </row>
    <row r="404" spans="4:7" ht="15.75" customHeight="1" x14ac:dyDescent="0.35">
      <c r="D404" s="2"/>
      <c r="E404" s="2"/>
      <c r="F404" s="2"/>
      <c r="G404" s="2"/>
    </row>
    <row r="405" spans="4:7" ht="15.75" customHeight="1" x14ac:dyDescent="0.35">
      <c r="D405" s="2"/>
      <c r="E405" s="2"/>
      <c r="F405" s="2"/>
      <c r="G405" s="2"/>
    </row>
    <row r="406" spans="4:7" ht="15.75" customHeight="1" x14ac:dyDescent="0.35">
      <c r="D406" s="2"/>
      <c r="E406" s="2"/>
      <c r="F406" s="2"/>
      <c r="G406" s="2"/>
    </row>
    <row r="407" spans="4:7" ht="15.75" customHeight="1" x14ac:dyDescent="0.35">
      <c r="D407" s="2"/>
      <c r="E407" s="2"/>
      <c r="F407" s="2"/>
      <c r="G407" s="2"/>
    </row>
    <row r="408" spans="4:7" ht="15.75" customHeight="1" x14ac:dyDescent="0.35">
      <c r="D408" s="2"/>
      <c r="E408" s="2"/>
      <c r="F408" s="2"/>
      <c r="G408" s="2"/>
    </row>
    <row r="409" spans="4:7" ht="15.75" customHeight="1" x14ac:dyDescent="0.35">
      <c r="D409" s="2"/>
      <c r="E409" s="2"/>
      <c r="F409" s="2"/>
      <c r="G409" s="2"/>
    </row>
    <row r="410" spans="4:7" ht="15.75" customHeight="1" x14ac:dyDescent="0.35">
      <c r="D410" s="2"/>
      <c r="E410" s="2"/>
      <c r="F410" s="2"/>
      <c r="G410" s="2"/>
    </row>
    <row r="411" spans="4:7" ht="15.75" customHeight="1" x14ac:dyDescent="0.35">
      <c r="D411" s="2"/>
      <c r="E411" s="2"/>
      <c r="F411" s="2"/>
      <c r="G411" s="2"/>
    </row>
    <row r="412" spans="4:7" ht="15.75" customHeight="1" x14ac:dyDescent="0.35">
      <c r="D412" s="2"/>
      <c r="E412" s="2"/>
      <c r="F412" s="2"/>
      <c r="G412" s="2"/>
    </row>
    <row r="413" spans="4:7" ht="15.75" customHeight="1" x14ac:dyDescent="0.35">
      <c r="D413" s="2"/>
      <c r="E413" s="2"/>
      <c r="F413" s="2"/>
      <c r="G413" s="2"/>
    </row>
    <row r="414" spans="4:7" ht="15.75" customHeight="1" x14ac:dyDescent="0.35">
      <c r="D414" s="2"/>
      <c r="E414" s="2"/>
      <c r="F414" s="2"/>
      <c r="G414" s="2"/>
    </row>
    <row r="415" spans="4:7" ht="15.75" customHeight="1" x14ac:dyDescent="0.35">
      <c r="D415" s="2"/>
      <c r="E415" s="2"/>
      <c r="F415" s="2"/>
      <c r="G415" s="2"/>
    </row>
    <row r="416" spans="4:7" ht="15.75" customHeight="1" x14ac:dyDescent="0.35">
      <c r="D416" s="2"/>
      <c r="E416" s="2"/>
      <c r="F416" s="2"/>
      <c r="G416" s="2"/>
    </row>
    <row r="417" spans="4:7" ht="15.75" customHeight="1" x14ac:dyDescent="0.35">
      <c r="D417" s="2"/>
      <c r="E417" s="2"/>
      <c r="F417" s="2"/>
      <c r="G417" s="2"/>
    </row>
    <row r="418" spans="4:7" ht="15.75" customHeight="1" x14ac:dyDescent="0.35">
      <c r="D418" s="2"/>
      <c r="E418" s="2"/>
      <c r="F418" s="2"/>
      <c r="G418" s="2"/>
    </row>
    <row r="419" spans="4:7" ht="15.75" customHeight="1" x14ac:dyDescent="0.35">
      <c r="D419" s="2"/>
      <c r="E419" s="2"/>
      <c r="F419" s="2"/>
      <c r="G419" s="2"/>
    </row>
    <row r="420" spans="4:7" ht="15.75" customHeight="1" x14ac:dyDescent="0.35">
      <c r="D420" s="2"/>
      <c r="E420" s="2"/>
      <c r="F420" s="2"/>
      <c r="G420" s="2"/>
    </row>
    <row r="421" spans="4:7" ht="15.75" customHeight="1" x14ac:dyDescent="0.35">
      <c r="D421" s="2"/>
      <c r="E421" s="2"/>
      <c r="F421" s="2"/>
      <c r="G421" s="2"/>
    </row>
    <row r="422" spans="4:7" ht="15.75" customHeight="1" x14ac:dyDescent="0.35">
      <c r="D422" s="2"/>
      <c r="E422" s="2"/>
      <c r="F422" s="2"/>
      <c r="G422" s="2"/>
    </row>
    <row r="423" spans="4:7" ht="15.75" customHeight="1" x14ac:dyDescent="0.35">
      <c r="D423" s="2"/>
      <c r="E423" s="2"/>
      <c r="F423" s="2"/>
      <c r="G423" s="2"/>
    </row>
    <row r="424" spans="4:7" ht="15.75" customHeight="1" x14ac:dyDescent="0.35">
      <c r="D424" s="2"/>
      <c r="E424" s="2"/>
      <c r="F424" s="2"/>
      <c r="G424" s="2"/>
    </row>
    <row r="425" spans="4:7" ht="15.75" customHeight="1" x14ac:dyDescent="0.35">
      <c r="D425" s="2"/>
      <c r="E425" s="2"/>
      <c r="F425" s="2"/>
      <c r="G425" s="2"/>
    </row>
    <row r="426" spans="4:7" ht="15.75" customHeight="1" x14ac:dyDescent="0.35">
      <c r="D426" s="2"/>
      <c r="E426" s="2"/>
      <c r="F426" s="2"/>
      <c r="G426" s="2"/>
    </row>
    <row r="427" spans="4:7" ht="15.75" customHeight="1" x14ac:dyDescent="0.35">
      <c r="D427" s="2"/>
      <c r="E427" s="2"/>
      <c r="F427" s="2"/>
      <c r="G427" s="2"/>
    </row>
    <row r="428" spans="4:7" ht="15.75" customHeight="1" x14ac:dyDescent="0.35">
      <c r="D428" s="2"/>
      <c r="E428" s="2"/>
      <c r="F428" s="2"/>
      <c r="G428" s="2"/>
    </row>
    <row r="429" spans="4:7" ht="15.75" customHeight="1" x14ac:dyDescent="0.35">
      <c r="D429" s="2"/>
      <c r="E429" s="2"/>
      <c r="F429" s="2"/>
      <c r="G429" s="2"/>
    </row>
    <row r="430" spans="4:7" ht="15.75" customHeight="1" x14ac:dyDescent="0.35">
      <c r="D430" s="2"/>
      <c r="E430" s="2"/>
      <c r="F430" s="2"/>
      <c r="G430" s="2"/>
    </row>
    <row r="431" spans="4:7" ht="15.75" customHeight="1" x14ac:dyDescent="0.35">
      <c r="D431" s="2"/>
      <c r="E431" s="2"/>
      <c r="F431" s="2"/>
      <c r="G431" s="2"/>
    </row>
    <row r="432" spans="4:7" ht="15.75" customHeight="1" x14ac:dyDescent="0.35">
      <c r="D432" s="2"/>
      <c r="E432" s="2"/>
      <c r="F432" s="2"/>
      <c r="G432" s="2"/>
    </row>
    <row r="433" spans="4:7" ht="15.75" customHeight="1" x14ac:dyDescent="0.35">
      <c r="D433" s="2"/>
      <c r="E433" s="2"/>
      <c r="F433" s="2"/>
      <c r="G433" s="2"/>
    </row>
    <row r="434" spans="4:7" ht="15.75" customHeight="1" x14ac:dyDescent="0.35">
      <c r="D434" s="2"/>
      <c r="E434" s="2"/>
      <c r="F434" s="2"/>
      <c r="G434" s="2"/>
    </row>
    <row r="435" spans="4:7" ht="15.75" customHeight="1" x14ac:dyDescent="0.35">
      <c r="D435" s="2"/>
      <c r="E435" s="2"/>
      <c r="F435" s="2"/>
      <c r="G435" s="2"/>
    </row>
    <row r="436" spans="4:7" ht="15.75" customHeight="1" x14ac:dyDescent="0.35">
      <c r="D436" s="2"/>
      <c r="E436" s="2"/>
      <c r="F436" s="2"/>
      <c r="G436" s="2"/>
    </row>
    <row r="437" spans="4:7" ht="15.75" customHeight="1" x14ac:dyDescent="0.35">
      <c r="D437" s="2"/>
      <c r="E437" s="2"/>
      <c r="F437" s="2"/>
      <c r="G437" s="2"/>
    </row>
    <row r="438" spans="4:7" ht="15.75" customHeight="1" x14ac:dyDescent="0.35">
      <c r="D438" s="2"/>
      <c r="E438" s="2"/>
      <c r="F438" s="2"/>
      <c r="G438" s="2"/>
    </row>
    <row r="439" spans="4:7" ht="15.75" customHeight="1" x14ac:dyDescent="0.35">
      <c r="D439" s="2"/>
      <c r="E439" s="2"/>
      <c r="F439" s="2"/>
      <c r="G439" s="2"/>
    </row>
    <row r="440" spans="4:7" ht="15.75" customHeight="1" x14ac:dyDescent="0.35">
      <c r="D440" s="2"/>
      <c r="E440" s="2"/>
      <c r="F440" s="2"/>
      <c r="G440" s="2"/>
    </row>
    <row r="441" spans="4:7" ht="15.75" customHeight="1" x14ac:dyDescent="0.35">
      <c r="D441" s="2"/>
      <c r="E441" s="2"/>
      <c r="F441" s="2"/>
      <c r="G441" s="2"/>
    </row>
    <row r="442" spans="4:7" ht="15.75" customHeight="1" x14ac:dyDescent="0.35">
      <c r="D442" s="2"/>
      <c r="E442" s="2"/>
      <c r="F442" s="2"/>
      <c r="G442" s="2"/>
    </row>
    <row r="443" spans="4:7" ht="15.75" customHeight="1" x14ac:dyDescent="0.35">
      <c r="D443" s="2"/>
      <c r="E443" s="2"/>
      <c r="F443" s="2"/>
      <c r="G443" s="2"/>
    </row>
    <row r="444" spans="4:7" ht="15.75" customHeight="1" x14ac:dyDescent="0.35">
      <c r="D444" s="2"/>
      <c r="E444" s="2"/>
      <c r="F444" s="2"/>
      <c r="G444" s="2"/>
    </row>
    <row r="445" spans="4:7" ht="15.75" customHeight="1" x14ac:dyDescent="0.35">
      <c r="D445" s="2"/>
      <c r="E445" s="2"/>
      <c r="F445" s="2"/>
      <c r="G445" s="2"/>
    </row>
    <row r="446" spans="4:7" ht="15.75" customHeight="1" x14ac:dyDescent="0.35">
      <c r="D446" s="2"/>
      <c r="E446" s="2"/>
      <c r="F446" s="2"/>
      <c r="G446" s="2"/>
    </row>
    <row r="447" spans="4:7" ht="15.75" customHeight="1" x14ac:dyDescent="0.35">
      <c r="D447" s="2"/>
      <c r="E447" s="2"/>
      <c r="F447" s="2"/>
      <c r="G447" s="2"/>
    </row>
    <row r="448" spans="4:7" ht="15.75" customHeight="1" x14ac:dyDescent="0.35">
      <c r="D448" s="2"/>
      <c r="E448" s="2"/>
      <c r="F448" s="2"/>
      <c r="G448" s="2"/>
    </row>
    <row r="449" spans="4:7" ht="15.75" customHeight="1" x14ac:dyDescent="0.35">
      <c r="D449" s="2"/>
      <c r="E449" s="2"/>
      <c r="F449" s="2"/>
      <c r="G449" s="2"/>
    </row>
    <row r="450" spans="4:7" ht="15.75" customHeight="1" x14ac:dyDescent="0.35">
      <c r="D450" s="2"/>
      <c r="E450" s="2"/>
      <c r="F450" s="2"/>
      <c r="G450" s="2"/>
    </row>
    <row r="451" spans="4:7" ht="15.75" customHeight="1" x14ac:dyDescent="0.35">
      <c r="D451" s="2"/>
      <c r="E451" s="2"/>
      <c r="F451" s="2"/>
      <c r="G451" s="2"/>
    </row>
    <row r="452" spans="4:7" ht="15.75" customHeight="1" x14ac:dyDescent="0.35">
      <c r="D452" s="2"/>
      <c r="E452" s="2"/>
      <c r="F452" s="2"/>
      <c r="G452" s="2"/>
    </row>
    <row r="453" spans="4:7" ht="15.75" customHeight="1" x14ac:dyDescent="0.35">
      <c r="D453" s="2"/>
      <c r="E453" s="2"/>
      <c r="F453" s="2"/>
      <c r="G453" s="2"/>
    </row>
    <row r="454" spans="4:7" ht="15.75" customHeight="1" x14ac:dyDescent="0.35">
      <c r="D454" s="2"/>
      <c r="E454" s="2"/>
      <c r="F454" s="2"/>
      <c r="G454" s="2"/>
    </row>
    <row r="455" spans="4:7" ht="15.75" customHeight="1" x14ac:dyDescent="0.35">
      <c r="D455" s="2"/>
      <c r="E455" s="2"/>
      <c r="F455" s="2"/>
      <c r="G455" s="2"/>
    </row>
    <row r="456" spans="4:7" ht="15.75" customHeight="1" x14ac:dyDescent="0.35">
      <c r="D456" s="2"/>
      <c r="E456" s="2"/>
      <c r="F456" s="2"/>
      <c r="G456" s="2"/>
    </row>
    <row r="457" spans="4:7" ht="15.75" customHeight="1" x14ac:dyDescent="0.35">
      <c r="D457" s="2"/>
      <c r="E457" s="2"/>
      <c r="F457" s="2"/>
      <c r="G457" s="2"/>
    </row>
    <row r="458" spans="4:7" ht="15.75" customHeight="1" x14ac:dyDescent="0.35">
      <c r="D458" s="2"/>
      <c r="E458" s="2"/>
      <c r="F458" s="2"/>
      <c r="G458" s="2"/>
    </row>
    <row r="459" spans="4:7" ht="15.75" customHeight="1" x14ac:dyDescent="0.35">
      <c r="D459" s="2"/>
      <c r="E459" s="2"/>
      <c r="F459" s="2"/>
      <c r="G459" s="2"/>
    </row>
    <row r="460" spans="4:7" ht="15.75" customHeight="1" x14ac:dyDescent="0.35">
      <c r="D460" s="2"/>
      <c r="E460" s="2"/>
      <c r="F460" s="2"/>
      <c r="G460" s="2"/>
    </row>
    <row r="461" spans="4:7" ht="15.75" customHeight="1" x14ac:dyDescent="0.35">
      <c r="D461" s="2"/>
      <c r="E461" s="2"/>
      <c r="F461" s="2"/>
      <c r="G461" s="2"/>
    </row>
    <row r="462" spans="4:7" ht="15.75" customHeight="1" x14ac:dyDescent="0.35">
      <c r="D462" s="2"/>
      <c r="E462" s="2"/>
      <c r="F462" s="2"/>
      <c r="G462" s="2"/>
    </row>
    <row r="463" spans="4:7" ht="15.75" customHeight="1" x14ac:dyDescent="0.35">
      <c r="D463" s="2"/>
      <c r="E463" s="2"/>
      <c r="F463" s="2"/>
      <c r="G463" s="2"/>
    </row>
    <row r="464" spans="4:7" ht="15.75" customHeight="1" x14ac:dyDescent="0.35">
      <c r="D464" s="2"/>
      <c r="E464" s="2"/>
      <c r="F464" s="2"/>
      <c r="G464" s="2"/>
    </row>
    <row r="465" spans="4:7" ht="15.75" customHeight="1" x14ac:dyDescent="0.35">
      <c r="D465" s="2"/>
      <c r="E465" s="2"/>
      <c r="F465" s="2"/>
      <c r="G465" s="2"/>
    </row>
    <row r="466" spans="4:7" ht="15.75" customHeight="1" x14ac:dyDescent="0.35">
      <c r="D466" s="2"/>
      <c r="E466" s="2"/>
      <c r="F466" s="2"/>
      <c r="G466" s="2"/>
    </row>
    <row r="467" spans="4:7" ht="15.75" customHeight="1" x14ac:dyDescent="0.35">
      <c r="D467" s="2"/>
      <c r="E467" s="2"/>
      <c r="F467" s="2"/>
      <c r="G467" s="2"/>
    </row>
    <row r="468" spans="4:7" ht="15.75" customHeight="1" x14ac:dyDescent="0.35">
      <c r="D468" s="2"/>
      <c r="E468" s="2"/>
      <c r="F468" s="2"/>
      <c r="G468" s="2"/>
    </row>
    <row r="469" spans="4:7" ht="15.75" customHeight="1" x14ac:dyDescent="0.35">
      <c r="D469" s="2"/>
      <c r="E469" s="2"/>
      <c r="F469" s="2"/>
      <c r="G469" s="2"/>
    </row>
    <row r="470" spans="4:7" ht="15.75" customHeight="1" x14ac:dyDescent="0.35">
      <c r="D470" s="2"/>
      <c r="E470" s="2"/>
      <c r="F470" s="2"/>
      <c r="G470" s="2"/>
    </row>
    <row r="471" spans="4:7" ht="15.75" customHeight="1" x14ac:dyDescent="0.35">
      <c r="D471" s="2"/>
      <c r="E471" s="2"/>
      <c r="F471" s="2"/>
      <c r="G471" s="2"/>
    </row>
    <row r="472" spans="4:7" ht="15.75" customHeight="1" x14ac:dyDescent="0.35">
      <c r="D472" s="2"/>
      <c r="E472" s="2"/>
      <c r="F472" s="2"/>
      <c r="G472" s="2"/>
    </row>
    <row r="473" spans="4:7" ht="15.75" customHeight="1" x14ac:dyDescent="0.35">
      <c r="D473" s="2"/>
      <c r="E473" s="2"/>
      <c r="F473" s="2"/>
      <c r="G473" s="2"/>
    </row>
    <row r="474" spans="4:7" ht="15.75" customHeight="1" x14ac:dyDescent="0.35">
      <c r="D474" s="2"/>
      <c r="E474" s="2"/>
      <c r="F474" s="2"/>
      <c r="G474" s="2"/>
    </row>
    <row r="475" spans="4:7" ht="15.75" customHeight="1" x14ac:dyDescent="0.35">
      <c r="D475" s="2"/>
      <c r="E475" s="2"/>
      <c r="F475" s="2"/>
      <c r="G475" s="2"/>
    </row>
    <row r="476" spans="4:7" ht="15.75" customHeight="1" x14ac:dyDescent="0.35">
      <c r="D476" s="2"/>
      <c r="E476" s="2"/>
      <c r="F476" s="2"/>
      <c r="G476" s="2"/>
    </row>
    <row r="477" spans="4:7" ht="15.75" customHeight="1" x14ac:dyDescent="0.35">
      <c r="D477" s="2"/>
      <c r="E477" s="2"/>
      <c r="F477" s="2"/>
      <c r="G477" s="2"/>
    </row>
    <row r="478" spans="4:7" ht="15.75" customHeight="1" x14ac:dyDescent="0.35">
      <c r="D478" s="2"/>
      <c r="E478" s="2"/>
      <c r="F478" s="2"/>
      <c r="G478" s="2"/>
    </row>
    <row r="479" spans="4:7" ht="15.75" customHeight="1" x14ac:dyDescent="0.35">
      <c r="D479" s="2"/>
      <c r="E479" s="2"/>
      <c r="F479" s="2"/>
      <c r="G479" s="2"/>
    </row>
    <row r="480" spans="4:7" ht="15.75" customHeight="1" x14ac:dyDescent="0.35">
      <c r="D480" s="2"/>
      <c r="E480" s="2"/>
      <c r="F480" s="2"/>
      <c r="G480" s="2"/>
    </row>
    <row r="481" spans="4:7" ht="15.75" customHeight="1" x14ac:dyDescent="0.35">
      <c r="D481" s="2"/>
      <c r="E481" s="2"/>
      <c r="F481" s="2"/>
      <c r="G481" s="2"/>
    </row>
    <row r="482" spans="4:7" ht="15.75" customHeight="1" x14ac:dyDescent="0.35">
      <c r="D482" s="2"/>
      <c r="E482" s="2"/>
      <c r="F482" s="2"/>
      <c r="G482" s="2"/>
    </row>
    <row r="483" spans="4:7" ht="15.75" customHeight="1" x14ac:dyDescent="0.35">
      <c r="D483" s="2"/>
      <c r="E483" s="2"/>
      <c r="F483" s="2"/>
      <c r="G483" s="2"/>
    </row>
    <row r="484" spans="4:7" ht="15.75" customHeight="1" x14ac:dyDescent="0.35">
      <c r="D484" s="2"/>
      <c r="E484" s="2"/>
      <c r="F484" s="2"/>
      <c r="G484" s="2"/>
    </row>
    <row r="485" spans="4:7" ht="15.75" customHeight="1" x14ac:dyDescent="0.35">
      <c r="D485" s="2"/>
      <c r="E485" s="2"/>
      <c r="F485" s="2"/>
      <c r="G485" s="2"/>
    </row>
    <row r="486" spans="4:7" ht="15.75" customHeight="1" x14ac:dyDescent="0.35">
      <c r="D486" s="2"/>
      <c r="E486" s="2"/>
      <c r="F486" s="2"/>
      <c r="G486" s="2"/>
    </row>
    <row r="487" spans="4:7" ht="15.75" customHeight="1" x14ac:dyDescent="0.35">
      <c r="D487" s="2"/>
      <c r="E487" s="2"/>
      <c r="F487" s="2"/>
      <c r="G487" s="2"/>
    </row>
    <row r="488" spans="4:7" ht="15.75" customHeight="1" x14ac:dyDescent="0.35">
      <c r="D488" s="2"/>
      <c r="E488" s="2"/>
      <c r="F488" s="2"/>
      <c r="G488" s="2"/>
    </row>
    <row r="489" spans="4:7" ht="15.75" customHeight="1" x14ac:dyDescent="0.35">
      <c r="D489" s="2"/>
      <c r="E489" s="2"/>
      <c r="F489" s="2"/>
      <c r="G489" s="2"/>
    </row>
    <row r="490" spans="4:7" ht="15.75" customHeight="1" x14ac:dyDescent="0.35">
      <c r="D490" s="2"/>
      <c r="E490" s="2"/>
      <c r="F490" s="2"/>
      <c r="G490" s="2"/>
    </row>
    <row r="491" spans="4:7" ht="15.75" customHeight="1" x14ac:dyDescent="0.35">
      <c r="D491" s="2"/>
      <c r="E491" s="2"/>
      <c r="F491" s="2"/>
      <c r="G491" s="2"/>
    </row>
    <row r="492" spans="4:7" ht="15.75" customHeight="1" x14ac:dyDescent="0.35">
      <c r="D492" s="2"/>
      <c r="E492" s="2"/>
      <c r="F492" s="2"/>
      <c r="G492" s="2"/>
    </row>
    <row r="493" spans="4:7" ht="15.75" customHeight="1" x14ac:dyDescent="0.35">
      <c r="D493" s="2"/>
      <c r="E493" s="2"/>
      <c r="F493" s="2"/>
      <c r="G493" s="2"/>
    </row>
    <row r="494" spans="4:7" ht="15.75" customHeight="1" x14ac:dyDescent="0.35">
      <c r="D494" s="2"/>
      <c r="E494" s="2"/>
      <c r="F494" s="2"/>
      <c r="G494" s="2"/>
    </row>
    <row r="495" spans="4:7" ht="15.75" customHeight="1" x14ac:dyDescent="0.35">
      <c r="D495" s="2"/>
      <c r="E495" s="2"/>
      <c r="F495" s="2"/>
      <c r="G495" s="2"/>
    </row>
    <row r="496" spans="4:7" ht="15.75" customHeight="1" x14ac:dyDescent="0.35">
      <c r="D496" s="2"/>
      <c r="E496" s="2"/>
      <c r="F496" s="2"/>
      <c r="G496" s="2"/>
    </row>
    <row r="497" spans="4:7" ht="15.75" customHeight="1" x14ac:dyDescent="0.35">
      <c r="D497" s="2"/>
      <c r="E497" s="2"/>
      <c r="F497" s="2"/>
      <c r="G497" s="2"/>
    </row>
    <row r="498" spans="4:7" ht="15.75" customHeight="1" x14ac:dyDescent="0.35">
      <c r="D498" s="2"/>
      <c r="E498" s="2"/>
      <c r="F498" s="2"/>
      <c r="G498" s="2"/>
    </row>
    <row r="499" spans="4:7" ht="15.75" customHeight="1" x14ac:dyDescent="0.35">
      <c r="D499" s="2"/>
      <c r="E499" s="2"/>
      <c r="F499" s="2"/>
      <c r="G499" s="2"/>
    </row>
    <row r="500" spans="4:7" ht="15.75" customHeight="1" x14ac:dyDescent="0.35">
      <c r="D500" s="2"/>
      <c r="E500" s="2"/>
      <c r="F500" s="2"/>
      <c r="G500" s="2"/>
    </row>
    <row r="501" spans="4:7" ht="15.75" customHeight="1" x14ac:dyDescent="0.35">
      <c r="D501" s="2"/>
      <c r="E501" s="2"/>
      <c r="F501" s="2"/>
      <c r="G501" s="2"/>
    </row>
    <row r="502" spans="4:7" ht="15.75" customHeight="1" x14ac:dyDescent="0.35">
      <c r="D502" s="2"/>
      <c r="E502" s="2"/>
      <c r="F502" s="2"/>
      <c r="G502" s="2"/>
    </row>
    <row r="503" spans="4:7" ht="15.75" customHeight="1" x14ac:dyDescent="0.35">
      <c r="D503" s="2"/>
      <c r="E503" s="2"/>
      <c r="F503" s="2"/>
      <c r="G503" s="2"/>
    </row>
    <row r="504" spans="4:7" ht="15.75" customHeight="1" x14ac:dyDescent="0.35">
      <c r="D504" s="2"/>
      <c r="E504" s="2"/>
      <c r="F504" s="2"/>
      <c r="G504" s="2"/>
    </row>
    <row r="505" spans="4:7" ht="15.75" customHeight="1" x14ac:dyDescent="0.35">
      <c r="D505" s="2"/>
      <c r="E505" s="2"/>
      <c r="F505" s="2"/>
      <c r="G505" s="2"/>
    </row>
    <row r="506" spans="4:7" ht="15.75" customHeight="1" x14ac:dyDescent="0.35">
      <c r="D506" s="2"/>
      <c r="E506" s="2"/>
      <c r="F506" s="2"/>
      <c r="G506" s="2"/>
    </row>
    <row r="507" spans="4:7" ht="15.75" customHeight="1" x14ac:dyDescent="0.35">
      <c r="D507" s="2"/>
      <c r="E507" s="2"/>
      <c r="F507" s="2"/>
      <c r="G507" s="2"/>
    </row>
    <row r="508" spans="4:7" ht="15.75" customHeight="1" x14ac:dyDescent="0.35">
      <c r="D508" s="2"/>
      <c r="E508" s="2"/>
      <c r="F508" s="2"/>
      <c r="G508" s="2"/>
    </row>
    <row r="509" spans="4:7" ht="15.75" customHeight="1" x14ac:dyDescent="0.35">
      <c r="D509" s="2"/>
      <c r="E509" s="2"/>
      <c r="F509" s="2"/>
      <c r="G509" s="2"/>
    </row>
    <row r="510" spans="4:7" ht="15.75" customHeight="1" x14ac:dyDescent="0.35">
      <c r="D510" s="2"/>
      <c r="E510" s="2"/>
      <c r="F510" s="2"/>
      <c r="G510" s="2"/>
    </row>
    <row r="511" spans="4:7" ht="15.75" customHeight="1" x14ac:dyDescent="0.35">
      <c r="D511" s="2"/>
      <c r="E511" s="2"/>
      <c r="F511" s="2"/>
      <c r="G511" s="2"/>
    </row>
    <row r="512" spans="4:7" ht="15.75" customHeight="1" x14ac:dyDescent="0.35">
      <c r="D512" s="2"/>
      <c r="E512" s="2"/>
      <c r="F512" s="2"/>
      <c r="G512" s="2"/>
    </row>
    <row r="513" spans="4:7" ht="15.75" customHeight="1" x14ac:dyDescent="0.35">
      <c r="D513" s="2"/>
      <c r="E513" s="2"/>
      <c r="F513" s="2"/>
      <c r="G513" s="2"/>
    </row>
    <row r="514" spans="4:7" ht="15.75" customHeight="1" x14ac:dyDescent="0.35">
      <c r="D514" s="2"/>
      <c r="E514" s="2"/>
      <c r="F514" s="2"/>
      <c r="G514" s="2"/>
    </row>
    <row r="515" spans="4:7" ht="15.75" customHeight="1" x14ac:dyDescent="0.35">
      <c r="D515" s="2"/>
      <c r="E515" s="2"/>
      <c r="F515" s="2"/>
      <c r="G515" s="2"/>
    </row>
    <row r="516" spans="4:7" ht="15.75" customHeight="1" x14ac:dyDescent="0.35">
      <c r="D516" s="2"/>
      <c r="E516" s="2"/>
      <c r="F516" s="2"/>
      <c r="G516" s="2"/>
    </row>
    <row r="517" spans="4:7" ht="15.75" customHeight="1" x14ac:dyDescent="0.35">
      <c r="D517" s="2"/>
      <c r="E517" s="2"/>
      <c r="F517" s="2"/>
      <c r="G517" s="2"/>
    </row>
    <row r="518" spans="4:7" ht="15.75" customHeight="1" x14ac:dyDescent="0.35">
      <c r="D518" s="2"/>
      <c r="E518" s="2"/>
      <c r="F518" s="2"/>
      <c r="G518" s="2"/>
    </row>
    <row r="519" spans="4:7" ht="15.75" customHeight="1" x14ac:dyDescent="0.35">
      <c r="D519" s="2"/>
      <c r="E519" s="2"/>
      <c r="F519" s="2"/>
      <c r="G519" s="2"/>
    </row>
    <row r="520" spans="4:7" ht="15.75" customHeight="1" x14ac:dyDescent="0.35">
      <c r="D520" s="2"/>
      <c r="E520" s="2"/>
      <c r="F520" s="2"/>
      <c r="G520" s="2"/>
    </row>
    <row r="521" spans="4:7" ht="15.75" customHeight="1" x14ac:dyDescent="0.35">
      <c r="D521" s="2"/>
      <c r="E521" s="2"/>
      <c r="F521" s="2"/>
      <c r="G521" s="2"/>
    </row>
    <row r="522" spans="4:7" ht="15.75" customHeight="1" x14ac:dyDescent="0.35">
      <c r="D522" s="2"/>
      <c r="E522" s="2"/>
      <c r="F522" s="2"/>
      <c r="G522" s="2"/>
    </row>
    <row r="523" spans="4:7" ht="15.75" customHeight="1" x14ac:dyDescent="0.35">
      <c r="D523" s="2"/>
      <c r="E523" s="2"/>
      <c r="F523" s="2"/>
      <c r="G523" s="2"/>
    </row>
    <row r="524" spans="4:7" ht="15.75" customHeight="1" x14ac:dyDescent="0.35">
      <c r="D524" s="2"/>
      <c r="E524" s="2"/>
      <c r="F524" s="2"/>
      <c r="G524" s="2"/>
    </row>
    <row r="525" spans="4:7" ht="15.75" customHeight="1" x14ac:dyDescent="0.35">
      <c r="D525" s="2"/>
      <c r="E525" s="2"/>
      <c r="F525" s="2"/>
      <c r="G525" s="2"/>
    </row>
    <row r="526" spans="4:7" ht="15.75" customHeight="1" x14ac:dyDescent="0.35">
      <c r="D526" s="2"/>
      <c r="E526" s="2"/>
      <c r="F526" s="2"/>
      <c r="G526" s="2"/>
    </row>
    <row r="527" spans="4:7" ht="15.75" customHeight="1" x14ac:dyDescent="0.35">
      <c r="D527" s="2"/>
      <c r="E527" s="2"/>
      <c r="F527" s="2"/>
      <c r="G527" s="2"/>
    </row>
    <row r="528" spans="4:7" ht="15.75" customHeight="1" x14ac:dyDescent="0.35">
      <c r="D528" s="2"/>
      <c r="E528" s="2"/>
      <c r="F528" s="2"/>
      <c r="G528" s="2"/>
    </row>
    <row r="529" spans="4:7" ht="15.75" customHeight="1" x14ac:dyDescent="0.35">
      <c r="D529" s="2"/>
      <c r="E529" s="2"/>
      <c r="F529" s="2"/>
      <c r="G529" s="2"/>
    </row>
    <row r="530" spans="4:7" ht="15.75" customHeight="1" x14ac:dyDescent="0.35">
      <c r="D530" s="2"/>
      <c r="E530" s="2"/>
      <c r="F530" s="2"/>
      <c r="G530" s="2"/>
    </row>
    <row r="531" spans="4:7" ht="15.75" customHeight="1" x14ac:dyDescent="0.35">
      <c r="D531" s="2"/>
      <c r="E531" s="2"/>
      <c r="F531" s="2"/>
      <c r="G531" s="2"/>
    </row>
    <row r="532" spans="4:7" ht="15.75" customHeight="1" x14ac:dyDescent="0.35">
      <c r="D532" s="2"/>
      <c r="E532" s="2"/>
      <c r="F532" s="2"/>
      <c r="G532" s="2"/>
    </row>
    <row r="533" spans="4:7" ht="15.75" customHeight="1" x14ac:dyDescent="0.35">
      <c r="D533" s="2"/>
      <c r="E533" s="2"/>
      <c r="F533" s="2"/>
      <c r="G533" s="2"/>
    </row>
    <row r="534" spans="4:7" ht="15.75" customHeight="1" x14ac:dyDescent="0.35">
      <c r="D534" s="2"/>
      <c r="E534" s="2"/>
      <c r="F534" s="2"/>
      <c r="G534" s="2"/>
    </row>
    <row r="535" spans="4:7" ht="15.75" customHeight="1" x14ac:dyDescent="0.35">
      <c r="D535" s="2"/>
      <c r="E535" s="2"/>
      <c r="F535" s="2"/>
      <c r="G535" s="2"/>
    </row>
    <row r="536" spans="4:7" ht="15.75" customHeight="1" x14ac:dyDescent="0.35">
      <c r="D536" s="2"/>
      <c r="E536" s="2"/>
      <c r="F536" s="2"/>
      <c r="G536" s="2"/>
    </row>
    <row r="537" spans="4:7" ht="15.75" customHeight="1" x14ac:dyDescent="0.35">
      <c r="D537" s="2"/>
      <c r="E537" s="2"/>
      <c r="F537" s="2"/>
      <c r="G537" s="2"/>
    </row>
    <row r="538" spans="4:7" ht="15.75" customHeight="1" x14ac:dyDescent="0.35">
      <c r="D538" s="2"/>
      <c r="E538" s="2"/>
      <c r="F538" s="2"/>
      <c r="G538" s="2"/>
    </row>
    <row r="539" spans="4:7" ht="15.75" customHeight="1" x14ac:dyDescent="0.35">
      <c r="D539" s="2"/>
      <c r="E539" s="2"/>
      <c r="F539" s="2"/>
      <c r="G539" s="2"/>
    </row>
    <row r="540" spans="4:7" ht="15.75" customHeight="1" x14ac:dyDescent="0.35">
      <c r="D540" s="2"/>
      <c r="E540" s="2"/>
      <c r="F540" s="2"/>
      <c r="G540" s="2"/>
    </row>
    <row r="541" spans="4:7" ht="15.75" customHeight="1" x14ac:dyDescent="0.35">
      <c r="D541" s="2"/>
      <c r="E541" s="2"/>
      <c r="F541" s="2"/>
      <c r="G541" s="2"/>
    </row>
    <row r="542" spans="4:7" ht="15.75" customHeight="1" x14ac:dyDescent="0.35">
      <c r="D542" s="2"/>
      <c r="E542" s="2"/>
      <c r="F542" s="2"/>
      <c r="G542" s="2"/>
    </row>
    <row r="543" spans="4:7" ht="15.75" customHeight="1" x14ac:dyDescent="0.35">
      <c r="D543" s="2"/>
      <c r="E543" s="2"/>
      <c r="F543" s="2"/>
      <c r="G543" s="2"/>
    </row>
    <row r="544" spans="4:7" ht="15.75" customHeight="1" x14ac:dyDescent="0.35">
      <c r="D544" s="2"/>
      <c r="E544" s="2"/>
      <c r="F544" s="2"/>
      <c r="G544" s="2"/>
    </row>
    <row r="545" spans="4:7" ht="15.75" customHeight="1" x14ac:dyDescent="0.35">
      <c r="D545" s="2"/>
      <c r="E545" s="2"/>
      <c r="F545" s="2"/>
      <c r="G545" s="2"/>
    </row>
    <row r="546" spans="4:7" ht="15.75" customHeight="1" x14ac:dyDescent="0.35">
      <c r="D546" s="2"/>
      <c r="E546" s="2"/>
      <c r="F546" s="2"/>
      <c r="G546" s="2"/>
    </row>
    <row r="547" spans="4:7" ht="15.75" customHeight="1" x14ac:dyDescent="0.35">
      <c r="D547" s="2"/>
      <c r="E547" s="2"/>
      <c r="F547" s="2"/>
      <c r="G547" s="2"/>
    </row>
    <row r="548" spans="4:7" ht="15.75" customHeight="1" x14ac:dyDescent="0.35">
      <c r="D548" s="2"/>
      <c r="E548" s="2"/>
      <c r="F548" s="2"/>
      <c r="G548" s="2"/>
    </row>
    <row r="549" spans="4:7" ht="15.75" customHeight="1" x14ac:dyDescent="0.35">
      <c r="D549" s="2"/>
      <c r="E549" s="2"/>
      <c r="F549" s="2"/>
      <c r="G549" s="2"/>
    </row>
    <row r="550" spans="4:7" ht="15.75" customHeight="1" x14ac:dyDescent="0.35">
      <c r="D550" s="2"/>
      <c r="E550" s="2"/>
      <c r="F550" s="2"/>
      <c r="G550" s="2"/>
    </row>
    <row r="551" spans="4:7" ht="15.75" customHeight="1" x14ac:dyDescent="0.35">
      <c r="D551" s="2"/>
      <c r="E551" s="2"/>
      <c r="F551" s="2"/>
      <c r="G551" s="2"/>
    </row>
    <row r="552" spans="4:7" ht="15.75" customHeight="1" x14ac:dyDescent="0.35">
      <c r="D552" s="2"/>
      <c r="E552" s="2"/>
      <c r="F552" s="2"/>
      <c r="G552" s="2"/>
    </row>
    <row r="553" spans="4:7" ht="15.75" customHeight="1" x14ac:dyDescent="0.35">
      <c r="D553" s="2"/>
      <c r="E553" s="2"/>
      <c r="F553" s="2"/>
      <c r="G553" s="2"/>
    </row>
    <row r="554" spans="4:7" ht="15.75" customHeight="1" x14ac:dyDescent="0.35">
      <c r="D554" s="2"/>
      <c r="E554" s="2"/>
      <c r="F554" s="2"/>
      <c r="G554" s="2"/>
    </row>
    <row r="555" spans="4:7" ht="15.75" customHeight="1" x14ac:dyDescent="0.35">
      <c r="D555" s="2"/>
      <c r="E555" s="2"/>
      <c r="F555" s="2"/>
      <c r="G555" s="2"/>
    </row>
    <row r="556" spans="4:7" ht="15.75" customHeight="1" x14ac:dyDescent="0.35">
      <c r="D556" s="2"/>
      <c r="E556" s="2"/>
      <c r="F556" s="2"/>
      <c r="G556" s="2"/>
    </row>
    <row r="557" spans="4:7" ht="15.75" customHeight="1" x14ac:dyDescent="0.35">
      <c r="D557" s="2"/>
      <c r="E557" s="2"/>
      <c r="F557" s="2"/>
      <c r="G557" s="2"/>
    </row>
    <row r="558" spans="4:7" ht="15.75" customHeight="1" x14ac:dyDescent="0.35">
      <c r="D558" s="2"/>
      <c r="E558" s="2"/>
      <c r="F558" s="2"/>
      <c r="G558" s="2"/>
    </row>
    <row r="559" spans="4:7" ht="15.75" customHeight="1" x14ac:dyDescent="0.35">
      <c r="D559" s="2"/>
      <c r="E559" s="2"/>
      <c r="F559" s="2"/>
      <c r="G559" s="2"/>
    </row>
    <row r="560" spans="4:7" ht="15.75" customHeight="1" x14ac:dyDescent="0.35">
      <c r="D560" s="2"/>
      <c r="E560" s="2"/>
      <c r="F560" s="2"/>
      <c r="G560" s="2"/>
    </row>
    <row r="561" spans="4:7" ht="15.75" customHeight="1" x14ac:dyDescent="0.35">
      <c r="D561" s="2"/>
      <c r="E561" s="2"/>
      <c r="F561" s="2"/>
      <c r="G561" s="2"/>
    </row>
    <row r="562" spans="4:7" ht="15.75" customHeight="1" x14ac:dyDescent="0.35">
      <c r="D562" s="2"/>
      <c r="E562" s="2"/>
      <c r="F562" s="2"/>
      <c r="G562" s="2"/>
    </row>
    <row r="563" spans="4:7" ht="15.75" customHeight="1" x14ac:dyDescent="0.35">
      <c r="D563" s="2"/>
      <c r="E563" s="2"/>
      <c r="F563" s="2"/>
      <c r="G563" s="2"/>
    </row>
    <row r="564" spans="4:7" ht="15.75" customHeight="1" x14ac:dyDescent="0.35">
      <c r="D564" s="2"/>
      <c r="E564" s="2"/>
      <c r="F564" s="2"/>
      <c r="G564" s="2"/>
    </row>
    <row r="565" spans="4:7" ht="15.75" customHeight="1" x14ac:dyDescent="0.35">
      <c r="D565" s="2"/>
      <c r="E565" s="2"/>
      <c r="F565" s="2"/>
      <c r="G565" s="2"/>
    </row>
    <row r="566" spans="4:7" ht="15.75" customHeight="1" x14ac:dyDescent="0.35">
      <c r="D566" s="2"/>
      <c r="E566" s="2"/>
      <c r="F566" s="2"/>
      <c r="G566" s="2"/>
    </row>
    <row r="567" spans="4:7" ht="15.75" customHeight="1" x14ac:dyDescent="0.35">
      <c r="D567" s="2"/>
      <c r="E567" s="2"/>
      <c r="F567" s="2"/>
      <c r="G567" s="2"/>
    </row>
    <row r="568" spans="4:7" ht="15.75" customHeight="1" x14ac:dyDescent="0.35">
      <c r="D568" s="2"/>
      <c r="E568" s="2"/>
      <c r="F568" s="2"/>
      <c r="G568" s="2"/>
    </row>
    <row r="569" spans="4:7" ht="15.75" customHeight="1" x14ac:dyDescent="0.35">
      <c r="D569" s="2"/>
      <c r="E569" s="2"/>
      <c r="F569" s="2"/>
      <c r="G569" s="2"/>
    </row>
    <row r="570" spans="4:7" ht="15.75" customHeight="1" x14ac:dyDescent="0.35">
      <c r="D570" s="2"/>
      <c r="E570" s="2"/>
      <c r="F570" s="2"/>
      <c r="G570" s="2"/>
    </row>
    <row r="571" spans="4:7" ht="15.75" customHeight="1" x14ac:dyDescent="0.35">
      <c r="D571" s="2"/>
      <c r="E571" s="2"/>
      <c r="F571" s="2"/>
      <c r="G571" s="2"/>
    </row>
    <row r="572" spans="4:7" ht="15.75" customHeight="1" x14ac:dyDescent="0.35">
      <c r="D572" s="2"/>
      <c r="E572" s="2"/>
      <c r="F572" s="2"/>
      <c r="G572" s="2"/>
    </row>
    <row r="573" spans="4:7" ht="15.75" customHeight="1" x14ac:dyDescent="0.35">
      <c r="D573" s="2"/>
      <c r="E573" s="2"/>
      <c r="F573" s="2"/>
      <c r="G573" s="2"/>
    </row>
    <row r="574" spans="4:7" ht="15.75" customHeight="1" x14ac:dyDescent="0.35">
      <c r="D574" s="2"/>
      <c r="E574" s="2"/>
      <c r="F574" s="2"/>
      <c r="G574" s="2"/>
    </row>
    <row r="575" spans="4:7" ht="15.75" customHeight="1" x14ac:dyDescent="0.35">
      <c r="D575" s="2"/>
      <c r="E575" s="2"/>
      <c r="F575" s="2"/>
      <c r="G575" s="2"/>
    </row>
    <row r="576" spans="4:7" ht="15.75" customHeight="1" x14ac:dyDescent="0.35">
      <c r="D576" s="2"/>
      <c r="E576" s="2"/>
      <c r="F576" s="2"/>
      <c r="G576" s="2"/>
    </row>
    <row r="577" spans="4:7" ht="15.75" customHeight="1" x14ac:dyDescent="0.35">
      <c r="D577" s="2"/>
      <c r="E577" s="2"/>
      <c r="F577" s="2"/>
      <c r="G577" s="2"/>
    </row>
    <row r="578" spans="4:7" ht="15.75" customHeight="1" x14ac:dyDescent="0.35">
      <c r="D578" s="2"/>
      <c r="E578" s="2"/>
      <c r="F578" s="2"/>
      <c r="G578" s="2"/>
    </row>
    <row r="579" spans="4:7" ht="15.75" customHeight="1" x14ac:dyDescent="0.35">
      <c r="D579" s="2"/>
      <c r="E579" s="2"/>
      <c r="F579" s="2"/>
      <c r="G579" s="2"/>
    </row>
    <row r="580" spans="4:7" ht="15.75" customHeight="1" x14ac:dyDescent="0.35">
      <c r="D580" s="2"/>
      <c r="E580" s="2"/>
      <c r="F580" s="2"/>
      <c r="G580" s="2"/>
    </row>
    <row r="581" spans="4:7" ht="15.75" customHeight="1" x14ac:dyDescent="0.35">
      <c r="D581" s="2"/>
      <c r="E581" s="2"/>
      <c r="F581" s="2"/>
      <c r="G581" s="2"/>
    </row>
    <row r="582" spans="4:7" ht="15.75" customHeight="1" x14ac:dyDescent="0.35">
      <c r="D582" s="2"/>
      <c r="E582" s="2"/>
      <c r="F582" s="2"/>
      <c r="G582" s="2"/>
    </row>
    <row r="583" spans="4:7" ht="15.75" customHeight="1" x14ac:dyDescent="0.35">
      <c r="D583" s="2"/>
      <c r="E583" s="2"/>
      <c r="F583" s="2"/>
      <c r="G583" s="2"/>
    </row>
    <row r="584" spans="4:7" ht="15.75" customHeight="1" x14ac:dyDescent="0.35">
      <c r="D584" s="2"/>
      <c r="E584" s="2"/>
      <c r="F584" s="2"/>
      <c r="G584" s="2"/>
    </row>
    <row r="585" spans="4:7" ht="15.75" customHeight="1" x14ac:dyDescent="0.35">
      <c r="D585" s="2"/>
      <c r="E585" s="2"/>
      <c r="F585" s="2"/>
      <c r="G585" s="2"/>
    </row>
    <row r="586" spans="4:7" ht="15.75" customHeight="1" x14ac:dyDescent="0.35">
      <c r="D586" s="2"/>
      <c r="E586" s="2"/>
      <c r="F586" s="2"/>
      <c r="G586" s="2"/>
    </row>
    <row r="587" spans="4:7" ht="15.75" customHeight="1" x14ac:dyDescent="0.35">
      <c r="D587" s="2"/>
      <c r="E587" s="2"/>
      <c r="F587" s="2"/>
      <c r="G587" s="2"/>
    </row>
    <row r="588" spans="4:7" ht="15.75" customHeight="1" x14ac:dyDescent="0.35">
      <c r="D588" s="2"/>
      <c r="E588" s="2"/>
      <c r="F588" s="2"/>
      <c r="G588" s="2"/>
    </row>
    <row r="589" spans="4:7" ht="15.75" customHeight="1" x14ac:dyDescent="0.35">
      <c r="D589" s="2"/>
      <c r="E589" s="2"/>
      <c r="F589" s="2"/>
      <c r="G589" s="2"/>
    </row>
    <row r="590" spans="4:7" ht="15.75" customHeight="1" x14ac:dyDescent="0.35">
      <c r="D590" s="2"/>
      <c r="E590" s="2"/>
      <c r="F590" s="2"/>
      <c r="G590" s="2"/>
    </row>
    <row r="591" spans="4:7" ht="15.75" customHeight="1" x14ac:dyDescent="0.35">
      <c r="D591" s="2"/>
      <c r="E591" s="2"/>
      <c r="F591" s="2"/>
      <c r="G591" s="2"/>
    </row>
    <row r="592" spans="4:7" ht="15.75" customHeight="1" x14ac:dyDescent="0.35">
      <c r="D592" s="2"/>
      <c r="E592" s="2"/>
      <c r="F592" s="2"/>
      <c r="G592" s="2"/>
    </row>
    <row r="593" spans="4:7" ht="15.75" customHeight="1" x14ac:dyDescent="0.35">
      <c r="D593" s="2"/>
      <c r="E593" s="2"/>
      <c r="F593" s="2"/>
      <c r="G593" s="2"/>
    </row>
    <row r="594" spans="4:7" ht="15.75" customHeight="1" x14ac:dyDescent="0.35">
      <c r="D594" s="2"/>
      <c r="E594" s="2"/>
      <c r="F594" s="2"/>
      <c r="G594" s="2"/>
    </row>
    <row r="595" spans="4:7" ht="15.75" customHeight="1" x14ac:dyDescent="0.35">
      <c r="D595" s="2"/>
      <c r="E595" s="2"/>
      <c r="F595" s="2"/>
      <c r="G595" s="2"/>
    </row>
    <row r="596" spans="4:7" ht="15.75" customHeight="1" x14ac:dyDescent="0.35">
      <c r="D596" s="2"/>
      <c r="E596" s="2"/>
      <c r="F596" s="2"/>
      <c r="G596" s="2"/>
    </row>
    <row r="597" spans="4:7" ht="15.75" customHeight="1" x14ac:dyDescent="0.35">
      <c r="D597" s="2"/>
      <c r="E597" s="2"/>
      <c r="F597" s="2"/>
      <c r="G597" s="2"/>
    </row>
    <row r="598" spans="4:7" ht="15.75" customHeight="1" x14ac:dyDescent="0.35">
      <c r="D598" s="2"/>
      <c r="E598" s="2"/>
      <c r="F598" s="2"/>
      <c r="G598" s="2"/>
    </row>
    <row r="599" spans="4:7" ht="15.75" customHeight="1" x14ac:dyDescent="0.35">
      <c r="D599" s="2"/>
      <c r="E599" s="2"/>
      <c r="F599" s="2"/>
      <c r="G599" s="2"/>
    </row>
    <row r="600" spans="4:7" ht="15.75" customHeight="1" x14ac:dyDescent="0.35">
      <c r="D600" s="2"/>
      <c r="E600" s="2"/>
      <c r="F600" s="2"/>
      <c r="G600" s="2"/>
    </row>
    <row r="601" spans="4:7" ht="15.75" customHeight="1" x14ac:dyDescent="0.35">
      <c r="D601" s="2"/>
      <c r="E601" s="2"/>
      <c r="F601" s="2"/>
      <c r="G601" s="2"/>
    </row>
    <row r="602" spans="4:7" ht="15.75" customHeight="1" x14ac:dyDescent="0.35">
      <c r="D602" s="2"/>
      <c r="E602" s="2"/>
      <c r="F602" s="2"/>
      <c r="G602" s="2"/>
    </row>
    <row r="603" spans="4:7" ht="15.75" customHeight="1" x14ac:dyDescent="0.35">
      <c r="D603" s="2"/>
      <c r="E603" s="2"/>
      <c r="F603" s="2"/>
      <c r="G603" s="2"/>
    </row>
    <row r="604" spans="4:7" ht="15.75" customHeight="1" x14ac:dyDescent="0.35">
      <c r="D604" s="2"/>
      <c r="E604" s="2"/>
      <c r="F604" s="2"/>
      <c r="G604" s="2"/>
    </row>
    <row r="605" spans="4:7" ht="15.75" customHeight="1" x14ac:dyDescent="0.35">
      <c r="D605" s="2"/>
      <c r="E605" s="2"/>
      <c r="F605" s="2"/>
      <c r="G605" s="2"/>
    </row>
    <row r="606" spans="4:7" ht="15.75" customHeight="1" x14ac:dyDescent="0.35">
      <c r="D606" s="2"/>
      <c r="E606" s="2"/>
      <c r="F606" s="2"/>
      <c r="G606" s="2"/>
    </row>
    <row r="607" spans="4:7" ht="15.75" customHeight="1" x14ac:dyDescent="0.35">
      <c r="D607" s="2"/>
      <c r="E607" s="2"/>
      <c r="F607" s="2"/>
      <c r="G607" s="2"/>
    </row>
    <row r="608" spans="4:7" ht="15.75" customHeight="1" x14ac:dyDescent="0.35">
      <c r="D608" s="2"/>
      <c r="E608" s="2"/>
      <c r="F608" s="2"/>
      <c r="G608" s="2"/>
    </row>
    <row r="609" spans="4:7" ht="15.75" customHeight="1" x14ac:dyDescent="0.35">
      <c r="D609" s="2"/>
      <c r="E609" s="2"/>
      <c r="F609" s="2"/>
      <c r="G609" s="2"/>
    </row>
    <row r="610" spans="4:7" ht="15.75" customHeight="1" x14ac:dyDescent="0.35">
      <c r="D610" s="2"/>
      <c r="E610" s="2"/>
      <c r="F610" s="2"/>
      <c r="G610" s="2"/>
    </row>
    <row r="611" spans="4:7" ht="15.75" customHeight="1" x14ac:dyDescent="0.35">
      <c r="D611" s="2"/>
      <c r="E611" s="2"/>
      <c r="F611" s="2"/>
      <c r="G611" s="2"/>
    </row>
    <row r="612" spans="4:7" ht="15.75" customHeight="1" x14ac:dyDescent="0.35">
      <c r="D612" s="2"/>
      <c r="E612" s="2"/>
      <c r="F612" s="2"/>
      <c r="G612" s="2"/>
    </row>
    <row r="613" spans="4:7" ht="15.75" customHeight="1" x14ac:dyDescent="0.35">
      <c r="D613" s="2"/>
      <c r="E613" s="2"/>
      <c r="F613" s="2"/>
      <c r="G613" s="2"/>
    </row>
    <row r="614" spans="4:7" ht="15.75" customHeight="1" x14ac:dyDescent="0.35">
      <c r="D614" s="2"/>
      <c r="E614" s="2"/>
      <c r="F614" s="2"/>
      <c r="G614" s="2"/>
    </row>
    <row r="615" spans="4:7" ht="15.75" customHeight="1" x14ac:dyDescent="0.35">
      <c r="D615" s="2"/>
      <c r="E615" s="2"/>
      <c r="F615" s="2"/>
      <c r="G615" s="2"/>
    </row>
    <row r="616" spans="4:7" ht="15.75" customHeight="1" x14ac:dyDescent="0.35">
      <c r="D616" s="2"/>
      <c r="E616" s="2"/>
      <c r="F616" s="2"/>
      <c r="G616" s="2"/>
    </row>
    <row r="617" spans="4:7" ht="15.75" customHeight="1" x14ac:dyDescent="0.35">
      <c r="D617" s="2"/>
      <c r="E617" s="2"/>
      <c r="F617" s="2"/>
      <c r="G617" s="2"/>
    </row>
    <row r="618" spans="4:7" ht="15.75" customHeight="1" x14ac:dyDescent="0.35">
      <c r="D618" s="2"/>
      <c r="E618" s="2"/>
      <c r="F618" s="2"/>
      <c r="G618" s="2"/>
    </row>
    <row r="619" spans="4:7" ht="15.75" customHeight="1" x14ac:dyDescent="0.35">
      <c r="D619" s="2"/>
      <c r="E619" s="2"/>
      <c r="F619" s="2"/>
      <c r="G619" s="2"/>
    </row>
    <row r="620" spans="4:7" ht="15.75" customHeight="1" x14ac:dyDescent="0.35">
      <c r="D620" s="2"/>
      <c r="E620" s="2"/>
      <c r="F620" s="2"/>
      <c r="G620" s="2"/>
    </row>
    <row r="621" spans="4:7" ht="15.75" customHeight="1" x14ac:dyDescent="0.35">
      <c r="D621" s="2"/>
      <c r="E621" s="2"/>
      <c r="F621" s="2"/>
      <c r="G621" s="2"/>
    </row>
    <row r="622" spans="4:7" ht="15.75" customHeight="1" x14ac:dyDescent="0.35">
      <c r="D622" s="2"/>
      <c r="E622" s="2"/>
      <c r="F622" s="2"/>
      <c r="G622" s="2"/>
    </row>
    <row r="623" spans="4:7" ht="15.75" customHeight="1" x14ac:dyDescent="0.35">
      <c r="D623" s="2"/>
      <c r="E623" s="2"/>
      <c r="F623" s="2"/>
      <c r="G623" s="2"/>
    </row>
    <row r="624" spans="4:7" ht="15.75" customHeight="1" x14ac:dyDescent="0.35">
      <c r="D624" s="2"/>
      <c r="E624" s="2"/>
      <c r="F624" s="2"/>
      <c r="G624" s="2"/>
    </row>
    <row r="625" spans="4:7" ht="15.75" customHeight="1" x14ac:dyDescent="0.35">
      <c r="D625" s="2"/>
      <c r="E625" s="2"/>
      <c r="F625" s="2"/>
      <c r="G625" s="2"/>
    </row>
    <row r="626" spans="4:7" ht="15.75" customHeight="1" x14ac:dyDescent="0.35">
      <c r="D626" s="2"/>
      <c r="E626" s="2"/>
      <c r="F626" s="2"/>
      <c r="G626" s="2"/>
    </row>
    <row r="627" spans="4:7" ht="15.75" customHeight="1" x14ac:dyDescent="0.35">
      <c r="D627" s="2"/>
      <c r="E627" s="2"/>
      <c r="F627" s="2"/>
      <c r="G627" s="2"/>
    </row>
    <row r="628" spans="4:7" ht="15.75" customHeight="1" x14ac:dyDescent="0.35">
      <c r="D628" s="2"/>
      <c r="E628" s="2"/>
      <c r="F628" s="2"/>
      <c r="G628" s="2"/>
    </row>
    <row r="629" spans="4:7" ht="15.75" customHeight="1" x14ac:dyDescent="0.35">
      <c r="D629" s="2"/>
      <c r="E629" s="2"/>
      <c r="F629" s="2"/>
      <c r="G629" s="2"/>
    </row>
    <row r="630" spans="4:7" ht="15.75" customHeight="1" x14ac:dyDescent="0.35">
      <c r="D630" s="2"/>
      <c r="E630" s="2"/>
      <c r="F630" s="2"/>
      <c r="G630" s="2"/>
    </row>
    <row r="631" spans="4:7" ht="15.75" customHeight="1" x14ac:dyDescent="0.35">
      <c r="D631" s="2"/>
      <c r="E631" s="2"/>
      <c r="F631" s="2"/>
      <c r="G631" s="2"/>
    </row>
    <row r="632" spans="4:7" ht="15.75" customHeight="1" x14ac:dyDescent="0.35">
      <c r="D632" s="2"/>
      <c r="E632" s="2"/>
      <c r="F632" s="2"/>
      <c r="G632" s="2"/>
    </row>
    <row r="633" spans="4:7" ht="15.75" customHeight="1" x14ac:dyDescent="0.35">
      <c r="D633" s="2"/>
      <c r="E633" s="2"/>
      <c r="F633" s="2"/>
      <c r="G633" s="2"/>
    </row>
    <row r="634" spans="4:7" ht="15.75" customHeight="1" x14ac:dyDescent="0.35">
      <c r="D634" s="2"/>
      <c r="E634" s="2"/>
      <c r="F634" s="2"/>
      <c r="G634" s="2"/>
    </row>
    <row r="635" spans="4:7" ht="15.75" customHeight="1" x14ac:dyDescent="0.35">
      <c r="D635" s="2"/>
      <c r="E635" s="2"/>
      <c r="F635" s="2"/>
      <c r="G635" s="2"/>
    </row>
    <row r="636" spans="4:7" ht="15.75" customHeight="1" x14ac:dyDescent="0.35">
      <c r="D636" s="2"/>
      <c r="E636" s="2"/>
      <c r="F636" s="2"/>
      <c r="G636" s="2"/>
    </row>
    <row r="637" spans="4:7" ht="15.75" customHeight="1" x14ac:dyDescent="0.35">
      <c r="D637" s="2"/>
      <c r="E637" s="2"/>
      <c r="F637" s="2"/>
      <c r="G637" s="2"/>
    </row>
    <row r="638" spans="4:7" ht="15.75" customHeight="1" x14ac:dyDescent="0.35">
      <c r="D638" s="2"/>
      <c r="E638" s="2"/>
      <c r="F638" s="2"/>
      <c r="G638" s="2"/>
    </row>
    <row r="639" spans="4:7" ht="15.75" customHeight="1" x14ac:dyDescent="0.35">
      <c r="D639" s="2"/>
      <c r="E639" s="2"/>
      <c r="F639" s="2"/>
      <c r="G639" s="2"/>
    </row>
    <row r="640" spans="4:7" ht="15.75" customHeight="1" x14ac:dyDescent="0.35">
      <c r="D640" s="2"/>
      <c r="E640" s="2"/>
      <c r="F640" s="2"/>
      <c r="G640" s="2"/>
    </row>
    <row r="641" spans="4:7" ht="15.75" customHeight="1" x14ac:dyDescent="0.35">
      <c r="D641" s="2"/>
      <c r="E641" s="2"/>
      <c r="F641" s="2"/>
      <c r="G641" s="2"/>
    </row>
    <row r="642" spans="4:7" ht="15.75" customHeight="1" x14ac:dyDescent="0.35">
      <c r="D642" s="2"/>
      <c r="E642" s="2"/>
      <c r="F642" s="2"/>
      <c r="G642" s="2"/>
    </row>
    <row r="643" spans="4:7" ht="15.75" customHeight="1" x14ac:dyDescent="0.35">
      <c r="D643" s="2"/>
      <c r="E643" s="2"/>
      <c r="F643" s="2"/>
      <c r="G643" s="2"/>
    </row>
    <row r="644" spans="4:7" ht="15.75" customHeight="1" x14ac:dyDescent="0.35">
      <c r="D644" s="2"/>
      <c r="E644" s="2"/>
      <c r="F644" s="2"/>
      <c r="G644" s="2"/>
    </row>
    <row r="645" spans="4:7" ht="15.75" customHeight="1" x14ac:dyDescent="0.35">
      <c r="D645" s="2"/>
      <c r="E645" s="2"/>
      <c r="F645" s="2"/>
      <c r="G645" s="2"/>
    </row>
    <row r="646" spans="4:7" ht="15.75" customHeight="1" x14ac:dyDescent="0.35">
      <c r="D646" s="2"/>
      <c r="E646" s="2"/>
      <c r="F646" s="2"/>
      <c r="G646" s="2"/>
    </row>
    <row r="647" spans="4:7" ht="15.75" customHeight="1" x14ac:dyDescent="0.35">
      <c r="D647" s="2"/>
      <c r="E647" s="2"/>
      <c r="F647" s="2"/>
      <c r="G647" s="2"/>
    </row>
    <row r="648" spans="4:7" ht="15.75" customHeight="1" x14ac:dyDescent="0.35">
      <c r="D648" s="2"/>
      <c r="E648" s="2"/>
      <c r="F648" s="2"/>
      <c r="G648" s="2"/>
    </row>
    <row r="649" spans="4:7" ht="15.75" customHeight="1" x14ac:dyDescent="0.35">
      <c r="D649" s="2"/>
      <c r="E649" s="2"/>
      <c r="F649" s="2"/>
      <c r="G649" s="2"/>
    </row>
    <row r="650" spans="4:7" ht="15.75" customHeight="1" x14ac:dyDescent="0.35">
      <c r="D650" s="2"/>
      <c r="E650" s="2"/>
      <c r="F650" s="2"/>
      <c r="G650" s="2"/>
    </row>
    <row r="651" spans="4:7" ht="15.75" customHeight="1" x14ac:dyDescent="0.35">
      <c r="D651" s="2"/>
      <c r="E651" s="2"/>
      <c r="F651" s="2"/>
      <c r="G651" s="2"/>
    </row>
    <row r="652" spans="4:7" ht="15.75" customHeight="1" x14ac:dyDescent="0.35">
      <c r="D652" s="2"/>
      <c r="E652" s="2"/>
      <c r="F652" s="2"/>
      <c r="G652" s="2"/>
    </row>
    <row r="653" spans="4:7" ht="15.75" customHeight="1" x14ac:dyDescent="0.35">
      <c r="D653" s="2"/>
      <c r="E653" s="2"/>
      <c r="F653" s="2"/>
      <c r="G653" s="2"/>
    </row>
    <row r="654" spans="4:7" ht="15.75" customHeight="1" x14ac:dyDescent="0.35">
      <c r="D654" s="2"/>
      <c r="E654" s="2"/>
      <c r="F654" s="2"/>
      <c r="G654" s="2"/>
    </row>
    <row r="655" spans="4:7" ht="15.75" customHeight="1" x14ac:dyDescent="0.35">
      <c r="D655" s="2"/>
      <c r="E655" s="2"/>
      <c r="F655" s="2"/>
      <c r="G655" s="2"/>
    </row>
    <row r="656" spans="4:7" ht="15.75" customHeight="1" x14ac:dyDescent="0.35">
      <c r="D656" s="2"/>
      <c r="E656" s="2"/>
      <c r="F656" s="2"/>
      <c r="G656" s="2"/>
    </row>
    <row r="657" spans="4:7" ht="15.75" customHeight="1" x14ac:dyDescent="0.35">
      <c r="D657" s="2"/>
      <c r="E657" s="2"/>
      <c r="F657" s="2"/>
      <c r="G657" s="2"/>
    </row>
    <row r="658" spans="4:7" ht="15.75" customHeight="1" x14ac:dyDescent="0.35">
      <c r="D658" s="2"/>
      <c r="E658" s="2"/>
      <c r="F658" s="2"/>
      <c r="G658" s="2"/>
    </row>
    <row r="659" spans="4:7" ht="15.75" customHeight="1" x14ac:dyDescent="0.35">
      <c r="D659" s="2"/>
      <c r="E659" s="2"/>
      <c r="F659" s="2"/>
      <c r="G659" s="2"/>
    </row>
    <row r="660" spans="4:7" ht="15.75" customHeight="1" x14ac:dyDescent="0.35">
      <c r="D660" s="2"/>
      <c r="E660" s="2"/>
      <c r="F660" s="2"/>
      <c r="G660" s="2"/>
    </row>
    <row r="661" spans="4:7" ht="15.75" customHeight="1" x14ac:dyDescent="0.35">
      <c r="D661" s="2"/>
      <c r="E661" s="2"/>
      <c r="F661" s="2"/>
      <c r="G661" s="2"/>
    </row>
    <row r="662" spans="4:7" ht="15.75" customHeight="1" x14ac:dyDescent="0.35">
      <c r="D662" s="2"/>
      <c r="E662" s="2"/>
      <c r="F662" s="2"/>
      <c r="G662" s="2"/>
    </row>
    <row r="663" spans="4:7" ht="15.75" customHeight="1" x14ac:dyDescent="0.35">
      <c r="D663" s="2"/>
      <c r="E663" s="2"/>
      <c r="F663" s="2"/>
      <c r="G663" s="2"/>
    </row>
    <row r="664" spans="4:7" ht="15.75" customHeight="1" x14ac:dyDescent="0.35">
      <c r="D664" s="2"/>
      <c r="E664" s="2"/>
      <c r="F664" s="2"/>
      <c r="G664" s="2"/>
    </row>
    <row r="665" spans="4:7" ht="15.75" customHeight="1" x14ac:dyDescent="0.35">
      <c r="D665" s="2"/>
      <c r="E665" s="2"/>
      <c r="F665" s="2"/>
      <c r="G665" s="2"/>
    </row>
    <row r="666" spans="4:7" ht="15.75" customHeight="1" x14ac:dyDescent="0.35">
      <c r="D666" s="2"/>
      <c r="E666" s="2"/>
      <c r="F666" s="2"/>
      <c r="G666" s="2"/>
    </row>
    <row r="667" spans="4:7" ht="15.75" customHeight="1" x14ac:dyDescent="0.35">
      <c r="D667" s="2"/>
      <c r="E667" s="2"/>
      <c r="F667" s="2"/>
      <c r="G667" s="2"/>
    </row>
    <row r="668" spans="4:7" ht="15.75" customHeight="1" x14ac:dyDescent="0.35">
      <c r="D668" s="2"/>
      <c r="E668" s="2"/>
      <c r="F668" s="2"/>
      <c r="G668" s="2"/>
    </row>
    <row r="669" spans="4:7" ht="15.75" customHeight="1" x14ac:dyDescent="0.35">
      <c r="D669" s="2"/>
      <c r="E669" s="2"/>
      <c r="F669" s="2"/>
      <c r="G669" s="2"/>
    </row>
    <row r="670" spans="4:7" ht="15.75" customHeight="1" x14ac:dyDescent="0.35">
      <c r="D670" s="2"/>
      <c r="E670" s="2"/>
      <c r="F670" s="2"/>
      <c r="G670" s="2"/>
    </row>
    <row r="671" spans="4:7" ht="15.75" customHeight="1" x14ac:dyDescent="0.35">
      <c r="D671" s="2"/>
      <c r="E671" s="2"/>
      <c r="F671" s="2"/>
      <c r="G671" s="2"/>
    </row>
    <row r="672" spans="4:7" ht="15.75" customHeight="1" x14ac:dyDescent="0.35">
      <c r="D672" s="2"/>
      <c r="E672" s="2"/>
      <c r="F672" s="2"/>
      <c r="G672" s="2"/>
    </row>
    <row r="673" spans="4:7" ht="15.75" customHeight="1" x14ac:dyDescent="0.35">
      <c r="D673" s="2"/>
      <c r="E673" s="2"/>
      <c r="F673" s="2"/>
      <c r="G673" s="2"/>
    </row>
    <row r="674" spans="4:7" ht="15.75" customHeight="1" x14ac:dyDescent="0.35">
      <c r="D674" s="2"/>
      <c r="E674" s="2"/>
      <c r="F674" s="2"/>
      <c r="G674" s="2"/>
    </row>
    <row r="675" spans="4:7" ht="15.75" customHeight="1" x14ac:dyDescent="0.35">
      <c r="D675" s="2"/>
      <c r="E675" s="2"/>
      <c r="F675" s="2"/>
      <c r="G675" s="2"/>
    </row>
    <row r="676" spans="4:7" ht="15.75" customHeight="1" x14ac:dyDescent="0.35">
      <c r="D676" s="2"/>
      <c r="E676" s="2"/>
      <c r="F676" s="2"/>
      <c r="G676" s="2"/>
    </row>
    <row r="677" spans="4:7" ht="15.75" customHeight="1" x14ac:dyDescent="0.35">
      <c r="D677" s="2"/>
      <c r="E677" s="2"/>
      <c r="F677" s="2"/>
      <c r="G677" s="2"/>
    </row>
    <row r="678" spans="4:7" ht="15.75" customHeight="1" x14ac:dyDescent="0.35">
      <c r="D678" s="2"/>
      <c r="E678" s="2"/>
      <c r="F678" s="2"/>
      <c r="G678" s="2"/>
    </row>
    <row r="679" spans="4:7" ht="15.75" customHeight="1" x14ac:dyDescent="0.35">
      <c r="D679" s="2"/>
      <c r="E679" s="2"/>
      <c r="F679" s="2"/>
      <c r="G679" s="2"/>
    </row>
    <row r="680" spans="4:7" ht="15.75" customHeight="1" x14ac:dyDescent="0.35">
      <c r="D680" s="2"/>
      <c r="E680" s="2"/>
      <c r="F680" s="2"/>
      <c r="G680" s="2"/>
    </row>
    <row r="681" spans="4:7" ht="15.75" customHeight="1" x14ac:dyDescent="0.35">
      <c r="D681" s="2"/>
      <c r="E681" s="2"/>
      <c r="F681" s="2"/>
      <c r="G681" s="2"/>
    </row>
    <row r="682" spans="4:7" ht="15.75" customHeight="1" x14ac:dyDescent="0.35">
      <c r="D682" s="2"/>
      <c r="E682" s="2"/>
      <c r="F682" s="2"/>
      <c r="G682" s="2"/>
    </row>
    <row r="683" spans="4:7" ht="15.75" customHeight="1" x14ac:dyDescent="0.35">
      <c r="D683" s="2"/>
      <c r="E683" s="2"/>
      <c r="F683" s="2"/>
      <c r="G683" s="2"/>
    </row>
    <row r="684" spans="4:7" ht="15.75" customHeight="1" x14ac:dyDescent="0.35">
      <c r="D684" s="2"/>
      <c r="E684" s="2"/>
      <c r="F684" s="2"/>
      <c r="G684" s="2"/>
    </row>
    <row r="685" spans="4:7" ht="15.75" customHeight="1" x14ac:dyDescent="0.35">
      <c r="D685" s="2"/>
      <c r="E685" s="2"/>
      <c r="F685" s="2"/>
      <c r="G685" s="2"/>
    </row>
    <row r="686" spans="4:7" ht="15.75" customHeight="1" x14ac:dyDescent="0.35">
      <c r="D686" s="2"/>
      <c r="E686" s="2"/>
      <c r="F686" s="2"/>
      <c r="G686" s="2"/>
    </row>
    <row r="687" spans="4:7" ht="15.75" customHeight="1" x14ac:dyDescent="0.35">
      <c r="D687" s="2"/>
      <c r="E687" s="2"/>
      <c r="F687" s="2"/>
      <c r="G687" s="2"/>
    </row>
    <row r="688" spans="4:7" ht="15.75" customHeight="1" x14ac:dyDescent="0.35">
      <c r="D688" s="2"/>
      <c r="E688" s="2"/>
      <c r="F688" s="2"/>
      <c r="G688" s="2"/>
    </row>
    <row r="689" spans="4:7" ht="15.75" customHeight="1" x14ac:dyDescent="0.35">
      <c r="D689" s="2"/>
      <c r="E689" s="2"/>
      <c r="F689" s="2"/>
      <c r="G689" s="2"/>
    </row>
    <row r="690" spans="4:7" ht="15.75" customHeight="1" x14ac:dyDescent="0.35">
      <c r="D690" s="2"/>
      <c r="E690" s="2"/>
      <c r="F690" s="2"/>
      <c r="G690" s="2"/>
    </row>
    <row r="691" spans="4:7" ht="15.75" customHeight="1" x14ac:dyDescent="0.35">
      <c r="D691" s="2"/>
      <c r="E691" s="2"/>
      <c r="F691" s="2"/>
      <c r="G691" s="2"/>
    </row>
    <row r="692" spans="4:7" ht="15.75" customHeight="1" x14ac:dyDescent="0.35">
      <c r="D692" s="2"/>
      <c r="E692" s="2"/>
      <c r="F692" s="2"/>
      <c r="G692" s="2"/>
    </row>
    <row r="693" spans="4:7" ht="15.75" customHeight="1" x14ac:dyDescent="0.35">
      <c r="D693" s="2"/>
      <c r="E693" s="2"/>
      <c r="F693" s="2"/>
      <c r="G693" s="2"/>
    </row>
    <row r="694" spans="4:7" ht="15.75" customHeight="1" x14ac:dyDescent="0.35">
      <c r="D694" s="2"/>
      <c r="E694" s="2"/>
      <c r="F694" s="2"/>
      <c r="G694" s="2"/>
    </row>
    <row r="695" spans="4:7" ht="15.75" customHeight="1" x14ac:dyDescent="0.35">
      <c r="D695" s="2"/>
      <c r="E695" s="2"/>
      <c r="F695" s="2"/>
      <c r="G695" s="2"/>
    </row>
    <row r="696" spans="4:7" ht="15.75" customHeight="1" x14ac:dyDescent="0.35">
      <c r="D696" s="2"/>
      <c r="E696" s="2"/>
      <c r="F696" s="2"/>
      <c r="G696" s="2"/>
    </row>
    <row r="697" spans="4:7" ht="15.75" customHeight="1" x14ac:dyDescent="0.35">
      <c r="D697" s="2"/>
      <c r="E697" s="2"/>
      <c r="F697" s="2"/>
      <c r="G697" s="2"/>
    </row>
    <row r="698" spans="4:7" ht="15.75" customHeight="1" x14ac:dyDescent="0.35">
      <c r="D698" s="2"/>
      <c r="E698" s="2"/>
      <c r="F698" s="2"/>
      <c r="G698" s="2"/>
    </row>
    <row r="699" spans="4:7" ht="15.75" customHeight="1" x14ac:dyDescent="0.35">
      <c r="D699" s="2"/>
      <c r="E699" s="2"/>
      <c r="F699" s="2"/>
      <c r="G699" s="2"/>
    </row>
    <row r="700" spans="4:7" ht="15.75" customHeight="1" x14ac:dyDescent="0.35">
      <c r="D700" s="2"/>
      <c r="E700" s="2"/>
      <c r="F700" s="2"/>
      <c r="G700" s="2"/>
    </row>
    <row r="701" spans="4:7" ht="15.75" customHeight="1" x14ac:dyDescent="0.35">
      <c r="D701" s="2"/>
      <c r="E701" s="2"/>
      <c r="F701" s="2"/>
      <c r="G701" s="2"/>
    </row>
    <row r="702" spans="4:7" ht="15.75" customHeight="1" x14ac:dyDescent="0.35">
      <c r="D702" s="2"/>
      <c r="E702" s="2"/>
      <c r="F702" s="2"/>
      <c r="G702" s="2"/>
    </row>
    <row r="703" spans="4:7" ht="15.75" customHeight="1" x14ac:dyDescent="0.35">
      <c r="D703" s="2"/>
      <c r="E703" s="2"/>
      <c r="F703" s="2"/>
      <c r="G703" s="2"/>
    </row>
    <row r="704" spans="4:7" ht="15.75" customHeight="1" x14ac:dyDescent="0.35">
      <c r="D704" s="2"/>
      <c r="E704" s="2"/>
      <c r="F704" s="2"/>
      <c r="G704" s="2"/>
    </row>
    <row r="705" spans="4:7" ht="15.75" customHeight="1" x14ac:dyDescent="0.35">
      <c r="D705" s="2"/>
      <c r="E705" s="2"/>
      <c r="F705" s="2"/>
      <c r="G705" s="2"/>
    </row>
    <row r="706" spans="4:7" ht="15.75" customHeight="1" x14ac:dyDescent="0.35">
      <c r="D706" s="2"/>
      <c r="E706" s="2"/>
      <c r="F706" s="2"/>
      <c r="G706" s="2"/>
    </row>
    <row r="707" spans="4:7" ht="15.75" customHeight="1" x14ac:dyDescent="0.35">
      <c r="D707" s="2"/>
      <c r="E707" s="2"/>
      <c r="F707" s="2"/>
      <c r="G707" s="2"/>
    </row>
    <row r="708" spans="4:7" ht="15.75" customHeight="1" x14ac:dyDescent="0.35">
      <c r="D708" s="2"/>
      <c r="E708" s="2"/>
      <c r="F708" s="2"/>
      <c r="G708" s="2"/>
    </row>
    <row r="709" spans="4:7" ht="15.75" customHeight="1" x14ac:dyDescent="0.35">
      <c r="D709" s="2"/>
      <c r="E709" s="2"/>
      <c r="F709" s="2"/>
      <c r="G709" s="2"/>
    </row>
    <row r="710" spans="4:7" ht="15.75" customHeight="1" x14ac:dyDescent="0.35">
      <c r="D710" s="2"/>
      <c r="E710" s="2"/>
      <c r="F710" s="2"/>
      <c r="G710" s="2"/>
    </row>
    <row r="711" spans="4:7" ht="15.75" customHeight="1" x14ac:dyDescent="0.35">
      <c r="D711" s="2"/>
      <c r="E711" s="2"/>
      <c r="F711" s="2"/>
      <c r="G711" s="2"/>
    </row>
    <row r="712" spans="4:7" ht="15.75" customHeight="1" x14ac:dyDescent="0.35">
      <c r="D712" s="2"/>
      <c r="E712" s="2"/>
      <c r="F712" s="2"/>
      <c r="G712" s="2"/>
    </row>
    <row r="713" spans="4:7" ht="15.75" customHeight="1" x14ac:dyDescent="0.35">
      <c r="D713" s="2"/>
      <c r="E713" s="2"/>
      <c r="F713" s="2"/>
      <c r="G713" s="2"/>
    </row>
    <row r="714" spans="4:7" ht="15.75" customHeight="1" x14ac:dyDescent="0.35">
      <c r="D714" s="2"/>
      <c r="E714" s="2"/>
      <c r="F714" s="2"/>
      <c r="G714" s="2"/>
    </row>
    <row r="715" spans="4:7" ht="15.75" customHeight="1" x14ac:dyDescent="0.35">
      <c r="D715" s="2"/>
      <c r="E715" s="2"/>
      <c r="F715" s="2"/>
      <c r="G715" s="2"/>
    </row>
    <row r="716" spans="4:7" ht="15.75" customHeight="1" x14ac:dyDescent="0.35">
      <c r="D716" s="2"/>
      <c r="E716" s="2"/>
      <c r="F716" s="2"/>
      <c r="G716" s="2"/>
    </row>
    <row r="717" spans="4:7" ht="15.75" customHeight="1" x14ac:dyDescent="0.35">
      <c r="D717" s="2"/>
      <c r="E717" s="2"/>
      <c r="F717" s="2"/>
      <c r="G717" s="2"/>
    </row>
    <row r="718" spans="4:7" ht="15.75" customHeight="1" x14ac:dyDescent="0.35">
      <c r="D718" s="2"/>
      <c r="E718" s="2"/>
      <c r="F718" s="2"/>
      <c r="G718" s="2"/>
    </row>
    <row r="719" spans="4:7" ht="15.75" customHeight="1" x14ac:dyDescent="0.35">
      <c r="D719" s="2"/>
      <c r="E719" s="2"/>
      <c r="F719" s="2"/>
      <c r="G719" s="2"/>
    </row>
    <row r="720" spans="4:7" ht="15.75" customHeight="1" x14ac:dyDescent="0.35">
      <c r="D720" s="2"/>
      <c r="E720" s="2"/>
      <c r="F720" s="2"/>
      <c r="G720" s="2"/>
    </row>
    <row r="721" spans="4:7" ht="15.75" customHeight="1" x14ac:dyDescent="0.35">
      <c r="D721" s="2"/>
      <c r="E721" s="2"/>
      <c r="F721" s="2"/>
      <c r="G721" s="2"/>
    </row>
    <row r="722" spans="4:7" ht="15.75" customHeight="1" x14ac:dyDescent="0.35">
      <c r="D722" s="2"/>
      <c r="E722" s="2"/>
      <c r="F722" s="2"/>
      <c r="G722" s="2"/>
    </row>
    <row r="723" spans="4:7" ht="15.75" customHeight="1" x14ac:dyDescent="0.35">
      <c r="D723" s="2"/>
      <c r="E723" s="2"/>
      <c r="F723" s="2"/>
      <c r="G723" s="2"/>
    </row>
    <row r="724" spans="4:7" ht="15.75" customHeight="1" x14ac:dyDescent="0.35">
      <c r="D724" s="2"/>
      <c r="E724" s="2"/>
      <c r="F724" s="2"/>
      <c r="G724" s="2"/>
    </row>
    <row r="725" spans="4:7" ht="15.75" customHeight="1" x14ac:dyDescent="0.35">
      <c r="D725" s="2"/>
      <c r="E725" s="2"/>
      <c r="F725" s="2"/>
      <c r="G725" s="2"/>
    </row>
    <row r="726" spans="4:7" ht="15.75" customHeight="1" x14ac:dyDescent="0.35">
      <c r="D726" s="2"/>
      <c r="E726" s="2"/>
      <c r="F726" s="2"/>
      <c r="G726" s="2"/>
    </row>
    <row r="727" spans="4:7" ht="15.75" customHeight="1" x14ac:dyDescent="0.35">
      <c r="D727" s="2"/>
      <c r="E727" s="2"/>
      <c r="F727" s="2"/>
      <c r="G727" s="2"/>
    </row>
    <row r="728" spans="4:7" ht="15.75" customHeight="1" x14ac:dyDescent="0.35">
      <c r="D728" s="2"/>
      <c r="E728" s="2"/>
      <c r="F728" s="2"/>
      <c r="G728" s="2"/>
    </row>
    <row r="729" spans="4:7" ht="15.75" customHeight="1" x14ac:dyDescent="0.35">
      <c r="D729" s="2"/>
      <c r="E729" s="2"/>
      <c r="F729" s="2"/>
      <c r="G729" s="2"/>
    </row>
    <row r="730" spans="4:7" ht="15.75" customHeight="1" x14ac:dyDescent="0.35">
      <c r="D730" s="2"/>
      <c r="E730" s="2"/>
      <c r="F730" s="2"/>
      <c r="G730" s="2"/>
    </row>
    <row r="731" spans="4:7" ht="15.75" customHeight="1" x14ac:dyDescent="0.35">
      <c r="D731" s="2"/>
      <c r="E731" s="2"/>
      <c r="F731" s="2"/>
      <c r="G731" s="2"/>
    </row>
    <row r="732" spans="4:7" ht="15.75" customHeight="1" x14ac:dyDescent="0.35">
      <c r="D732" s="2"/>
      <c r="E732" s="2"/>
      <c r="F732" s="2"/>
      <c r="G732" s="2"/>
    </row>
    <row r="733" spans="4:7" ht="15.75" customHeight="1" x14ac:dyDescent="0.35">
      <c r="D733" s="2"/>
      <c r="E733" s="2"/>
      <c r="F733" s="2"/>
      <c r="G733" s="2"/>
    </row>
    <row r="734" spans="4:7" ht="15.75" customHeight="1" x14ac:dyDescent="0.35">
      <c r="D734" s="2"/>
      <c r="E734" s="2"/>
      <c r="F734" s="2"/>
      <c r="G734" s="2"/>
    </row>
    <row r="735" spans="4:7" ht="15.75" customHeight="1" x14ac:dyDescent="0.35">
      <c r="D735" s="2"/>
      <c r="E735" s="2"/>
      <c r="F735" s="2"/>
      <c r="G735" s="2"/>
    </row>
    <row r="736" spans="4:7" ht="15.75" customHeight="1" x14ac:dyDescent="0.35">
      <c r="D736" s="2"/>
      <c r="E736" s="2"/>
      <c r="F736" s="2"/>
      <c r="G736" s="2"/>
    </row>
    <row r="737" spans="4:7" ht="15.75" customHeight="1" x14ac:dyDescent="0.35">
      <c r="D737" s="2"/>
      <c r="E737" s="2"/>
      <c r="F737" s="2"/>
      <c r="G737" s="2"/>
    </row>
    <row r="738" spans="4:7" ht="15.75" customHeight="1" x14ac:dyDescent="0.35">
      <c r="D738" s="2"/>
      <c r="E738" s="2"/>
      <c r="F738" s="2"/>
      <c r="G738" s="2"/>
    </row>
    <row r="739" spans="4:7" ht="15.75" customHeight="1" x14ac:dyDescent="0.35">
      <c r="D739" s="2"/>
      <c r="E739" s="2"/>
      <c r="F739" s="2"/>
      <c r="G739" s="2"/>
    </row>
    <row r="740" spans="4:7" ht="15.75" customHeight="1" x14ac:dyDescent="0.35">
      <c r="D740" s="2"/>
      <c r="E740" s="2"/>
      <c r="F740" s="2"/>
      <c r="G740" s="2"/>
    </row>
    <row r="741" spans="4:7" ht="15.75" customHeight="1" x14ac:dyDescent="0.35">
      <c r="D741" s="2"/>
      <c r="E741" s="2"/>
      <c r="F741" s="2"/>
      <c r="G741" s="2"/>
    </row>
    <row r="742" spans="4:7" ht="15.75" customHeight="1" x14ac:dyDescent="0.35">
      <c r="D742" s="2"/>
      <c r="E742" s="2"/>
      <c r="F742" s="2"/>
      <c r="G742" s="2"/>
    </row>
    <row r="743" spans="4:7" ht="15.75" customHeight="1" x14ac:dyDescent="0.35">
      <c r="D743" s="2"/>
      <c r="E743" s="2"/>
      <c r="F743" s="2"/>
      <c r="G743" s="2"/>
    </row>
    <row r="744" spans="4:7" ht="15.75" customHeight="1" x14ac:dyDescent="0.35">
      <c r="D744" s="2"/>
      <c r="E744" s="2"/>
      <c r="F744" s="2"/>
      <c r="G744" s="2"/>
    </row>
    <row r="745" spans="4:7" ht="15.75" customHeight="1" x14ac:dyDescent="0.35">
      <c r="D745" s="2"/>
      <c r="E745" s="2"/>
      <c r="F745" s="2"/>
      <c r="G745" s="2"/>
    </row>
    <row r="746" spans="4:7" ht="15.75" customHeight="1" x14ac:dyDescent="0.35">
      <c r="D746" s="2"/>
      <c r="E746" s="2"/>
      <c r="F746" s="2"/>
      <c r="G746" s="2"/>
    </row>
    <row r="747" spans="4:7" ht="15.75" customHeight="1" x14ac:dyDescent="0.35">
      <c r="D747" s="2"/>
      <c r="E747" s="2"/>
      <c r="F747" s="2"/>
      <c r="G747" s="2"/>
    </row>
    <row r="748" spans="4:7" ht="15.75" customHeight="1" x14ac:dyDescent="0.35">
      <c r="D748" s="2"/>
      <c r="E748" s="2"/>
      <c r="F748" s="2"/>
      <c r="G748" s="2"/>
    </row>
    <row r="749" spans="4:7" ht="15.75" customHeight="1" x14ac:dyDescent="0.35">
      <c r="D749" s="2"/>
      <c r="E749" s="2"/>
      <c r="F749" s="2"/>
      <c r="G749" s="2"/>
    </row>
    <row r="750" spans="4:7" ht="15.75" customHeight="1" x14ac:dyDescent="0.35">
      <c r="D750" s="2"/>
      <c r="E750" s="2"/>
      <c r="F750" s="2"/>
      <c r="G750" s="2"/>
    </row>
    <row r="751" spans="4:7" ht="15.75" customHeight="1" x14ac:dyDescent="0.35">
      <c r="D751" s="2"/>
      <c r="E751" s="2"/>
      <c r="F751" s="2"/>
      <c r="G751" s="2"/>
    </row>
    <row r="752" spans="4:7" ht="15.75" customHeight="1" x14ac:dyDescent="0.35">
      <c r="D752" s="2"/>
      <c r="E752" s="2"/>
      <c r="F752" s="2"/>
      <c r="G752" s="2"/>
    </row>
    <row r="753" spans="4:7" ht="15.75" customHeight="1" x14ac:dyDescent="0.35">
      <c r="D753" s="2"/>
      <c r="E753" s="2"/>
      <c r="F753" s="2"/>
      <c r="G753" s="2"/>
    </row>
    <row r="754" spans="4:7" ht="15.75" customHeight="1" x14ac:dyDescent="0.35">
      <c r="D754" s="2"/>
      <c r="E754" s="2"/>
      <c r="F754" s="2"/>
      <c r="G754" s="2"/>
    </row>
    <row r="755" spans="4:7" ht="15.75" customHeight="1" x14ac:dyDescent="0.35">
      <c r="D755" s="2"/>
      <c r="E755" s="2"/>
      <c r="F755" s="2"/>
      <c r="G755" s="2"/>
    </row>
    <row r="756" spans="4:7" ht="15.75" customHeight="1" x14ac:dyDescent="0.35">
      <c r="D756" s="2"/>
      <c r="E756" s="2"/>
      <c r="F756" s="2"/>
      <c r="G756" s="2"/>
    </row>
    <row r="757" spans="4:7" ht="15.75" customHeight="1" x14ac:dyDescent="0.35">
      <c r="D757" s="2"/>
      <c r="E757" s="2"/>
      <c r="F757" s="2"/>
      <c r="G757" s="2"/>
    </row>
    <row r="758" spans="4:7" ht="15.75" customHeight="1" x14ac:dyDescent="0.35">
      <c r="D758" s="2"/>
      <c r="E758" s="2"/>
      <c r="F758" s="2"/>
      <c r="G758" s="2"/>
    </row>
    <row r="759" spans="4:7" ht="15.75" customHeight="1" x14ac:dyDescent="0.35">
      <c r="D759" s="2"/>
      <c r="E759" s="2"/>
      <c r="F759" s="2"/>
      <c r="G759" s="2"/>
    </row>
    <row r="760" spans="4:7" ht="15.75" customHeight="1" x14ac:dyDescent="0.35">
      <c r="D760" s="2"/>
      <c r="E760" s="2"/>
      <c r="F760" s="2"/>
      <c r="G760" s="2"/>
    </row>
    <row r="761" spans="4:7" ht="15.75" customHeight="1" x14ac:dyDescent="0.35">
      <c r="D761" s="2"/>
      <c r="E761" s="2"/>
      <c r="F761" s="2"/>
      <c r="G761" s="2"/>
    </row>
    <row r="762" spans="4:7" ht="15.75" customHeight="1" x14ac:dyDescent="0.35">
      <c r="D762" s="2"/>
      <c r="E762" s="2"/>
      <c r="F762" s="2"/>
      <c r="G762" s="2"/>
    </row>
    <row r="763" spans="4:7" ht="15.75" customHeight="1" x14ac:dyDescent="0.35">
      <c r="D763" s="2"/>
      <c r="E763" s="2"/>
      <c r="F763" s="2"/>
      <c r="G763" s="2"/>
    </row>
    <row r="764" spans="4:7" ht="15.75" customHeight="1" x14ac:dyDescent="0.35">
      <c r="D764" s="2"/>
      <c r="E764" s="2"/>
      <c r="F764" s="2"/>
      <c r="G764" s="2"/>
    </row>
    <row r="765" spans="4:7" ht="15.75" customHeight="1" x14ac:dyDescent="0.35">
      <c r="D765" s="2"/>
      <c r="E765" s="2"/>
      <c r="F765" s="2"/>
      <c r="G765" s="2"/>
    </row>
    <row r="766" spans="4:7" ht="15.75" customHeight="1" x14ac:dyDescent="0.35">
      <c r="D766" s="2"/>
      <c r="E766" s="2"/>
      <c r="F766" s="2"/>
      <c r="G766" s="2"/>
    </row>
    <row r="767" spans="4:7" ht="15.75" customHeight="1" x14ac:dyDescent="0.35">
      <c r="D767" s="2"/>
      <c r="E767" s="2"/>
      <c r="F767" s="2"/>
      <c r="G767" s="2"/>
    </row>
    <row r="768" spans="4:7" ht="15.75" customHeight="1" x14ac:dyDescent="0.35">
      <c r="D768" s="2"/>
      <c r="E768" s="2"/>
      <c r="F768" s="2"/>
      <c r="G768" s="2"/>
    </row>
    <row r="769" spans="4:7" ht="15.75" customHeight="1" x14ac:dyDescent="0.35">
      <c r="D769" s="2"/>
      <c r="E769" s="2"/>
      <c r="F769" s="2"/>
      <c r="G769" s="2"/>
    </row>
    <row r="770" spans="4:7" ht="15.75" customHeight="1" x14ac:dyDescent="0.35">
      <c r="D770" s="2"/>
      <c r="E770" s="2"/>
      <c r="F770" s="2"/>
      <c r="G770" s="2"/>
    </row>
    <row r="771" spans="4:7" ht="15.75" customHeight="1" x14ac:dyDescent="0.35">
      <c r="D771" s="2"/>
      <c r="E771" s="2"/>
      <c r="F771" s="2"/>
      <c r="G771" s="2"/>
    </row>
    <row r="772" spans="4:7" ht="15.75" customHeight="1" x14ac:dyDescent="0.35">
      <c r="D772" s="2"/>
      <c r="E772" s="2"/>
      <c r="F772" s="2"/>
      <c r="G772" s="2"/>
    </row>
    <row r="773" spans="4:7" ht="15.75" customHeight="1" x14ac:dyDescent="0.35">
      <c r="D773" s="2"/>
      <c r="E773" s="2"/>
      <c r="F773" s="2"/>
      <c r="G773" s="2"/>
    </row>
    <row r="774" spans="4:7" ht="15.75" customHeight="1" x14ac:dyDescent="0.35">
      <c r="D774" s="2"/>
      <c r="E774" s="2"/>
      <c r="F774" s="2"/>
      <c r="G774" s="2"/>
    </row>
    <row r="775" spans="4:7" ht="15.75" customHeight="1" x14ac:dyDescent="0.35">
      <c r="D775" s="2"/>
      <c r="E775" s="2"/>
      <c r="F775" s="2"/>
      <c r="G775" s="2"/>
    </row>
    <row r="776" spans="4:7" ht="15.75" customHeight="1" x14ac:dyDescent="0.35">
      <c r="D776" s="2"/>
      <c r="E776" s="2"/>
      <c r="F776" s="2"/>
      <c r="G776" s="2"/>
    </row>
    <row r="777" spans="4:7" ht="15.75" customHeight="1" x14ac:dyDescent="0.35">
      <c r="D777" s="2"/>
      <c r="E777" s="2"/>
      <c r="F777" s="2"/>
      <c r="G777" s="2"/>
    </row>
    <row r="778" spans="4:7" ht="15.75" customHeight="1" x14ac:dyDescent="0.35">
      <c r="D778" s="2"/>
      <c r="E778" s="2"/>
      <c r="F778" s="2"/>
      <c r="G778" s="2"/>
    </row>
    <row r="779" spans="4:7" ht="15.75" customHeight="1" x14ac:dyDescent="0.35">
      <c r="D779" s="2"/>
      <c r="E779" s="2"/>
      <c r="F779" s="2"/>
      <c r="G779" s="2"/>
    </row>
    <row r="780" spans="4:7" ht="15.75" customHeight="1" x14ac:dyDescent="0.35">
      <c r="D780" s="2"/>
      <c r="E780" s="2"/>
      <c r="F780" s="2"/>
      <c r="G780" s="2"/>
    </row>
    <row r="781" spans="4:7" ht="15.75" customHeight="1" x14ac:dyDescent="0.35">
      <c r="D781" s="2"/>
      <c r="E781" s="2"/>
      <c r="F781" s="2"/>
      <c r="G781" s="2"/>
    </row>
    <row r="782" spans="4:7" ht="15.75" customHeight="1" x14ac:dyDescent="0.35">
      <c r="D782" s="2"/>
      <c r="E782" s="2"/>
      <c r="F782" s="2"/>
      <c r="G782" s="2"/>
    </row>
    <row r="783" spans="4:7" ht="15.75" customHeight="1" x14ac:dyDescent="0.35">
      <c r="D783" s="2"/>
      <c r="E783" s="2"/>
      <c r="F783" s="2"/>
      <c r="G783" s="2"/>
    </row>
    <row r="784" spans="4:7" ht="15.75" customHeight="1" x14ac:dyDescent="0.35">
      <c r="D784" s="2"/>
      <c r="E784" s="2"/>
      <c r="F784" s="2"/>
      <c r="G784" s="2"/>
    </row>
    <row r="785" spans="4:7" ht="15.75" customHeight="1" x14ac:dyDescent="0.35">
      <c r="D785" s="2"/>
      <c r="E785" s="2"/>
      <c r="F785" s="2"/>
      <c r="G785" s="2"/>
    </row>
    <row r="786" spans="4:7" ht="15.75" customHeight="1" x14ac:dyDescent="0.35">
      <c r="D786" s="2"/>
      <c r="E786" s="2"/>
      <c r="F786" s="2"/>
      <c r="G786" s="2"/>
    </row>
    <row r="787" spans="4:7" ht="15.75" customHeight="1" x14ac:dyDescent="0.35">
      <c r="D787" s="2"/>
      <c r="E787" s="2"/>
      <c r="F787" s="2"/>
      <c r="G787" s="2"/>
    </row>
    <row r="788" spans="4:7" ht="15.75" customHeight="1" x14ac:dyDescent="0.35">
      <c r="D788" s="2"/>
      <c r="E788" s="2"/>
      <c r="F788" s="2"/>
      <c r="G788" s="2"/>
    </row>
    <row r="789" spans="4:7" ht="15.75" customHeight="1" x14ac:dyDescent="0.35">
      <c r="D789" s="2"/>
      <c r="E789" s="2"/>
      <c r="F789" s="2"/>
      <c r="G789" s="2"/>
    </row>
    <row r="790" spans="4:7" ht="15.75" customHeight="1" x14ac:dyDescent="0.35">
      <c r="D790" s="2"/>
      <c r="E790" s="2"/>
      <c r="F790" s="2"/>
      <c r="G790" s="2"/>
    </row>
    <row r="791" spans="4:7" ht="15.75" customHeight="1" x14ac:dyDescent="0.35">
      <c r="D791" s="2"/>
      <c r="E791" s="2"/>
      <c r="F791" s="2"/>
      <c r="G791" s="2"/>
    </row>
    <row r="792" spans="4:7" ht="15.75" customHeight="1" x14ac:dyDescent="0.35">
      <c r="D792" s="2"/>
      <c r="E792" s="2"/>
      <c r="F792" s="2"/>
      <c r="G792" s="2"/>
    </row>
    <row r="793" spans="4:7" ht="15.75" customHeight="1" x14ac:dyDescent="0.35">
      <c r="D793" s="2"/>
      <c r="E793" s="2"/>
      <c r="F793" s="2"/>
      <c r="G793" s="2"/>
    </row>
    <row r="794" spans="4:7" ht="15.75" customHeight="1" x14ac:dyDescent="0.35">
      <c r="D794" s="2"/>
      <c r="E794" s="2"/>
      <c r="F794" s="2"/>
      <c r="G794" s="2"/>
    </row>
    <row r="795" spans="4:7" ht="15.75" customHeight="1" x14ac:dyDescent="0.35">
      <c r="D795" s="2"/>
      <c r="E795" s="2"/>
      <c r="F795" s="2"/>
      <c r="G795" s="2"/>
    </row>
    <row r="796" spans="4:7" ht="15.75" customHeight="1" x14ac:dyDescent="0.35">
      <c r="D796" s="2"/>
      <c r="E796" s="2"/>
      <c r="F796" s="2"/>
      <c r="G796" s="2"/>
    </row>
    <row r="797" spans="4:7" ht="15.75" customHeight="1" x14ac:dyDescent="0.35">
      <c r="D797" s="2"/>
      <c r="E797" s="2"/>
      <c r="F797" s="2"/>
      <c r="G797" s="2"/>
    </row>
    <row r="798" spans="4:7" ht="15.75" customHeight="1" x14ac:dyDescent="0.35">
      <c r="D798" s="2"/>
      <c r="E798" s="2"/>
      <c r="F798" s="2"/>
      <c r="G798" s="2"/>
    </row>
    <row r="799" spans="4:7" ht="15.75" customHeight="1" x14ac:dyDescent="0.35">
      <c r="D799" s="2"/>
      <c r="E799" s="2"/>
      <c r="F799" s="2"/>
      <c r="G799" s="2"/>
    </row>
    <row r="800" spans="4:7" ht="15.75" customHeight="1" x14ac:dyDescent="0.35">
      <c r="D800" s="2"/>
      <c r="E800" s="2"/>
      <c r="F800" s="2"/>
      <c r="G800" s="2"/>
    </row>
    <row r="801" spans="4:7" ht="15.75" customHeight="1" x14ac:dyDescent="0.35">
      <c r="D801" s="2"/>
      <c r="E801" s="2"/>
      <c r="F801" s="2"/>
      <c r="G801" s="2"/>
    </row>
    <row r="802" spans="4:7" ht="15.75" customHeight="1" x14ac:dyDescent="0.35">
      <c r="D802" s="2"/>
      <c r="E802" s="2"/>
      <c r="F802" s="2"/>
      <c r="G802" s="2"/>
    </row>
    <row r="803" spans="4:7" ht="15.75" customHeight="1" x14ac:dyDescent="0.35">
      <c r="D803" s="2"/>
      <c r="E803" s="2"/>
      <c r="F803" s="2"/>
      <c r="G803" s="2"/>
    </row>
    <row r="804" spans="4:7" ht="15.75" customHeight="1" x14ac:dyDescent="0.35">
      <c r="D804" s="2"/>
      <c r="E804" s="2"/>
      <c r="F804" s="2"/>
      <c r="G804" s="2"/>
    </row>
    <row r="805" spans="4:7" ht="15.75" customHeight="1" x14ac:dyDescent="0.35">
      <c r="D805" s="2"/>
      <c r="E805" s="2"/>
      <c r="F805" s="2"/>
      <c r="G805" s="2"/>
    </row>
    <row r="806" spans="4:7" ht="15.75" customHeight="1" x14ac:dyDescent="0.35">
      <c r="D806" s="2"/>
      <c r="E806" s="2"/>
      <c r="F806" s="2"/>
      <c r="G806" s="2"/>
    </row>
    <row r="807" spans="4:7" ht="15.75" customHeight="1" x14ac:dyDescent="0.35">
      <c r="D807" s="2"/>
      <c r="E807" s="2"/>
      <c r="F807" s="2"/>
      <c r="G807" s="2"/>
    </row>
    <row r="808" spans="4:7" ht="15.75" customHeight="1" x14ac:dyDescent="0.35">
      <c r="D808" s="2"/>
      <c r="E808" s="2"/>
      <c r="F808" s="2"/>
      <c r="G808" s="2"/>
    </row>
    <row r="809" spans="4:7" ht="15.75" customHeight="1" x14ac:dyDescent="0.35">
      <c r="D809" s="2"/>
      <c r="E809" s="2"/>
      <c r="F809" s="2"/>
      <c r="G809" s="2"/>
    </row>
    <row r="810" spans="4:7" ht="15.75" customHeight="1" x14ac:dyDescent="0.35">
      <c r="D810" s="2"/>
      <c r="E810" s="2"/>
      <c r="F810" s="2"/>
      <c r="G810" s="2"/>
    </row>
    <row r="811" spans="4:7" ht="15.75" customHeight="1" x14ac:dyDescent="0.35">
      <c r="D811" s="2"/>
      <c r="E811" s="2"/>
      <c r="F811" s="2"/>
      <c r="G811" s="2"/>
    </row>
    <row r="812" spans="4:7" ht="15.75" customHeight="1" x14ac:dyDescent="0.35">
      <c r="D812" s="2"/>
      <c r="E812" s="2"/>
      <c r="F812" s="2"/>
      <c r="G812" s="2"/>
    </row>
    <row r="813" spans="4:7" ht="15.75" customHeight="1" x14ac:dyDescent="0.35">
      <c r="D813" s="2"/>
      <c r="E813" s="2"/>
      <c r="F813" s="2"/>
      <c r="G813" s="2"/>
    </row>
    <row r="814" spans="4:7" ht="15.75" customHeight="1" x14ac:dyDescent="0.35">
      <c r="D814" s="2"/>
      <c r="E814" s="2"/>
      <c r="F814" s="2"/>
      <c r="G814" s="2"/>
    </row>
    <row r="815" spans="4:7" ht="15.75" customHeight="1" x14ac:dyDescent="0.35">
      <c r="D815" s="2"/>
      <c r="E815" s="2"/>
      <c r="F815" s="2"/>
      <c r="G815" s="2"/>
    </row>
    <row r="816" spans="4:7" ht="15.75" customHeight="1" x14ac:dyDescent="0.35">
      <c r="D816" s="2"/>
      <c r="E816" s="2"/>
      <c r="F816" s="2"/>
      <c r="G816" s="2"/>
    </row>
    <row r="817" spans="4:7" ht="15.75" customHeight="1" x14ac:dyDescent="0.35">
      <c r="D817" s="2"/>
      <c r="E817" s="2"/>
      <c r="F817" s="2"/>
      <c r="G817" s="2"/>
    </row>
    <row r="818" spans="4:7" ht="15.75" customHeight="1" x14ac:dyDescent="0.35">
      <c r="D818" s="2"/>
      <c r="E818" s="2"/>
      <c r="F818" s="2"/>
      <c r="G818" s="2"/>
    </row>
    <row r="819" spans="4:7" ht="15.75" customHeight="1" x14ac:dyDescent="0.35">
      <c r="D819" s="2"/>
      <c r="E819" s="2"/>
      <c r="F819" s="2"/>
      <c r="G819" s="2"/>
    </row>
    <row r="820" spans="4:7" ht="15.75" customHeight="1" x14ac:dyDescent="0.35">
      <c r="D820" s="2"/>
      <c r="E820" s="2"/>
      <c r="F820" s="2"/>
      <c r="G820" s="2"/>
    </row>
    <row r="821" spans="4:7" ht="15.75" customHeight="1" x14ac:dyDescent="0.35">
      <c r="D821" s="2"/>
      <c r="E821" s="2"/>
      <c r="F821" s="2"/>
      <c r="G821" s="2"/>
    </row>
    <row r="822" spans="4:7" ht="15.75" customHeight="1" x14ac:dyDescent="0.35">
      <c r="D822" s="2"/>
      <c r="E822" s="2"/>
      <c r="F822" s="2"/>
      <c r="G822" s="2"/>
    </row>
    <row r="823" spans="4:7" ht="15.75" customHeight="1" x14ac:dyDescent="0.35">
      <c r="D823" s="2"/>
      <c r="E823" s="2"/>
      <c r="F823" s="2"/>
      <c r="G823" s="2"/>
    </row>
    <row r="824" spans="4:7" ht="15.75" customHeight="1" x14ac:dyDescent="0.35">
      <c r="D824" s="2"/>
      <c r="E824" s="2"/>
      <c r="F824" s="2"/>
      <c r="G824" s="2"/>
    </row>
    <row r="825" spans="4:7" ht="15.75" customHeight="1" x14ac:dyDescent="0.35">
      <c r="D825" s="2"/>
      <c r="E825" s="2"/>
      <c r="F825" s="2"/>
      <c r="G825" s="2"/>
    </row>
    <row r="826" spans="4:7" ht="15.75" customHeight="1" x14ac:dyDescent="0.35">
      <c r="D826" s="2"/>
      <c r="E826" s="2"/>
      <c r="F826" s="2"/>
      <c r="G826" s="2"/>
    </row>
    <row r="827" spans="4:7" ht="15.75" customHeight="1" x14ac:dyDescent="0.35">
      <c r="D827" s="2"/>
      <c r="E827" s="2"/>
      <c r="F827" s="2"/>
      <c r="G827" s="2"/>
    </row>
    <row r="828" spans="4:7" ht="15.75" customHeight="1" x14ac:dyDescent="0.35">
      <c r="D828" s="2"/>
      <c r="E828" s="2"/>
      <c r="F828" s="2"/>
      <c r="G828" s="2"/>
    </row>
    <row r="829" spans="4:7" ht="15.75" customHeight="1" x14ac:dyDescent="0.35">
      <c r="D829" s="2"/>
      <c r="E829" s="2"/>
      <c r="F829" s="2"/>
      <c r="G829" s="2"/>
    </row>
    <row r="830" spans="4:7" ht="15.75" customHeight="1" x14ac:dyDescent="0.35">
      <c r="D830" s="2"/>
      <c r="E830" s="2"/>
      <c r="F830" s="2"/>
      <c r="G830" s="2"/>
    </row>
    <row r="831" spans="4:7" ht="15.75" customHeight="1" x14ac:dyDescent="0.35">
      <c r="D831" s="2"/>
      <c r="E831" s="2"/>
      <c r="F831" s="2"/>
      <c r="G831" s="2"/>
    </row>
    <row r="832" spans="4:7" ht="15.75" customHeight="1" x14ac:dyDescent="0.35">
      <c r="D832" s="2"/>
      <c r="E832" s="2"/>
      <c r="F832" s="2"/>
      <c r="G832" s="2"/>
    </row>
    <row r="833" spans="4:7" ht="15.75" customHeight="1" x14ac:dyDescent="0.35">
      <c r="D833" s="2"/>
      <c r="E833" s="2"/>
      <c r="F833" s="2"/>
      <c r="G833" s="2"/>
    </row>
    <row r="834" spans="4:7" ht="15.75" customHeight="1" x14ac:dyDescent="0.35">
      <c r="D834" s="2"/>
      <c r="E834" s="2"/>
      <c r="F834" s="2"/>
      <c r="G834" s="2"/>
    </row>
    <row r="835" spans="4:7" ht="15.75" customHeight="1" x14ac:dyDescent="0.35">
      <c r="D835" s="2"/>
      <c r="E835" s="2"/>
      <c r="F835" s="2"/>
      <c r="G835" s="2"/>
    </row>
    <row r="836" spans="4:7" ht="15.75" customHeight="1" x14ac:dyDescent="0.35">
      <c r="D836" s="2"/>
      <c r="E836" s="2"/>
      <c r="F836" s="2"/>
      <c r="G836" s="2"/>
    </row>
    <row r="837" spans="4:7" ht="15.75" customHeight="1" x14ac:dyDescent="0.35">
      <c r="D837" s="2"/>
      <c r="E837" s="2"/>
      <c r="F837" s="2"/>
      <c r="G837" s="2"/>
    </row>
    <row r="838" spans="4:7" ht="15.75" customHeight="1" x14ac:dyDescent="0.35">
      <c r="D838" s="2"/>
      <c r="E838" s="2"/>
      <c r="F838" s="2"/>
      <c r="G838" s="2"/>
    </row>
    <row r="839" spans="4:7" ht="15.75" customHeight="1" x14ac:dyDescent="0.35">
      <c r="D839" s="2"/>
      <c r="E839" s="2"/>
      <c r="F839" s="2"/>
      <c r="G839" s="2"/>
    </row>
    <row r="840" spans="4:7" ht="15.75" customHeight="1" x14ac:dyDescent="0.35">
      <c r="D840" s="2"/>
      <c r="E840" s="2"/>
      <c r="F840" s="2"/>
      <c r="G840" s="2"/>
    </row>
    <row r="841" spans="4:7" ht="15.75" customHeight="1" x14ac:dyDescent="0.35">
      <c r="D841" s="2"/>
      <c r="E841" s="2"/>
      <c r="F841" s="2"/>
      <c r="G841" s="2"/>
    </row>
    <row r="842" spans="4:7" ht="15.75" customHeight="1" x14ac:dyDescent="0.35">
      <c r="D842" s="2"/>
      <c r="E842" s="2"/>
      <c r="F842" s="2"/>
      <c r="G842" s="2"/>
    </row>
    <row r="843" spans="4:7" ht="15.75" customHeight="1" x14ac:dyDescent="0.35">
      <c r="D843" s="2"/>
      <c r="E843" s="2"/>
      <c r="F843" s="2"/>
      <c r="G843" s="2"/>
    </row>
    <row r="844" spans="4:7" ht="15.75" customHeight="1" x14ac:dyDescent="0.35">
      <c r="D844" s="2"/>
      <c r="E844" s="2"/>
      <c r="F844" s="2"/>
      <c r="G844" s="2"/>
    </row>
    <row r="845" spans="4:7" ht="15.75" customHeight="1" x14ac:dyDescent="0.35">
      <c r="D845" s="2"/>
      <c r="E845" s="2"/>
      <c r="F845" s="2"/>
      <c r="G845" s="2"/>
    </row>
    <row r="846" spans="4:7" ht="15.75" customHeight="1" x14ac:dyDescent="0.35">
      <c r="D846" s="2"/>
      <c r="E846" s="2"/>
      <c r="F846" s="2"/>
      <c r="G846" s="2"/>
    </row>
    <row r="847" spans="4:7" ht="15.75" customHeight="1" x14ac:dyDescent="0.35">
      <c r="D847" s="2"/>
      <c r="E847" s="2"/>
      <c r="F847" s="2"/>
      <c r="G847" s="2"/>
    </row>
    <row r="848" spans="4:7" ht="15.75" customHeight="1" x14ac:dyDescent="0.35">
      <c r="D848" s="2"/>
      <c r="E848" s="2"/>
      <c r="F848" s="2"/>
      <c r="G848" s="2"/>
    </row>
    <row r="849" spans="4:7" ht="15.75" customHeight="1" x14ac:dyDescent="0.35">
      <c r="D849" s="2"/>
      <c r="E849" s="2"/>
      <c r="F849" s="2"/>
      <c r="G849" s="2"/>
    </row>
    <row r="850" spans="4:7" ht="15.75" customHeight="1" x14ac:dyDescent="0.35">
      <c r="D850" s="2"/>
      <c r="E850" s="2"/>
      <c r="F850" s="2"/>
      <c r="G850" s="2"/>
    </row>
    <row r="851" spans="4:7" ht="15.75" customHeight="1" x14ac:dyDescent="0.35">
      <c r="D851" s="2"/>
      <c r="E851" s="2"/>
      <c r="F851" s="2"/>
      <c r="G851" s="2"/>
    </row>
    <row r="852" spans="4:7" ht="15.75" customHeight="1" x14ac:dyDescent="0.35">
      <c r="D852" s="2"/>
      <c r="E852" s="2"/>
      <c r="F852" s="2"/>
      <c r="G852" s="2"/>
    </row>
    <row r="853" spans="4:7" ht="15.75" customHeight="1" x14ac:dyDescent="0.35">
      <c r="D853" s="2"/>
      <c r="E853" s="2"/>
      <c r="F853" s="2"/>
      <c r="G853" s="2"/>
    </row>
    <row r="854" spans="4:7" ht="15.75" customHeight="1" x14ac:dyDescent="0.35">
      <c r="D854" s="2"/>
      <c r="E854" s="2"/>
      <c r="F854" s="2"/>
      <c r="G854" s="2"/>
    </row>
    <row r="855" spans="4:7" ht="15.75" customHeight="1" x14ac:dyDescent="0.35">
      <c r="D855" s="2"/>
      <c r="E855" s="2"/>
      <c r="F855" s="2"/>
      <c r="G855" s="2"/>
    </row>
    <row r="856" spans="4:7" ht="15.75" customHeight="1" x14ac:dyDescent="0.35">
      <c r="D856" s="2"/>
      <c r="E856" s="2"/>
      <c r="F856" s="2"/>
      <c r="G856" s="2"/>
    </row>
    <row r="857" spans="4:7" ht="15.75" customHeight="1" x14ac:dyDescent="0.35">
      <c r="D857" s="2"/>
      <c r="E857" s="2"/>
      <c r="F857" s="2"/>
      <c r="G857" s="2"/>
    </row>
    <row r="858" spans="4:7" ht="15.75" customHeight="1" x14ac:dyDescent="0.35">
      <c r="D858" s="2"/>
      <c r="E858" s="2"/>
      <c r="F858" s="2"/>
      <c r="G858" s="2"/>
    </row>
    <row r="859" spans="4:7" ht="15.75" customHeight="1" x14ac:dyDescent="0.35">
      <c r="D859" s="2"/>
      <c r="E859" s="2"/>
      <c r="F859" s="2"/>
      <c r="G859" s="2"/>
    </row>
    <row r="860" spans="4:7" ht="15.75" customHeight="1" x14ac:dyDescent="0.35">
      <c r="D860" s="2"/>
      <c r="E860" s="2"/>
      <c r="F860" s="2"/>
      <c r="G860" s="2"/>
    </row>
    <row r="861" spans="4:7" ht="15.75" customHeight="1" x14ac:dyDescent="0.35">
      <c r="D861" s="2"/>
      <c r="E861" s="2"/>
      <c r="F861" s="2"/>
      <c r="G861" s="2"/>
    </row>
    <row r="862" spans="4:7" ht="15.75" customHeight="1" x14ac:dyDescent="0.35">
      <c r="D862" s="2"/>
      <c r="E862" s="2"/>
      <c r="F862" s="2"/>
      <c r="G862" s="2"/>
    </row>
    <row r="863" spans="4:7" ht="15.75" customHeight="1" x14ac:dyDescent="0.35">
      <c r="D863" s="2"/>
      <c r="E863" s="2"/>
      <c r="F863" s="2"/>
      <c r="G863" s="2"/>
    </row>
    <row r="864" spans="4:7" ht="15.75" customHeight="1" x14ac:dyDescent="0.35">
      <c r="D864" s="2"/>
      <c r="E864" s="2"/>
      <c r="F864" s="2"/>
      <c r="G864" s="2"/>
    </row>
    <row r="865" spans="4:7" ht="15.75" customHeight="1" x14ac:dyDescent="0.35">
      <c r="D865" s="2"/>
      <c r="E865" s="2"/>
      <c r="F865" s="2"/>
      <c r="G865" s="2"/>
    </row>
    <row r="866" spans="4:7" ht="15.75" customHeight="1" x14ac:dyDescent="0.35">
      <c r="D866" s="2"/>
      <c r="E866" s="2"/>
      <c r="F866" s="2"/>
      <c r="G866" s="2"/>
    </row>
    <row r="867" spans="4:7" ht="15.75" customHeight="1" x14ac:dyDescent="0.35">
      <c r="D867" s="2"/>
      <c r="E867" s="2"/>
      <c r="F867" s="2"/>
      <c r="G867" s="2"/>
    </row>
    <row r="868" spans="4:7" ht="15.75" customHeight="1" x14ac:dyDescent="0.35">
      <c r="D868" s="2"/>
      <c r="E868" s="2"/>
      <c r="F868" s="2"/>
      <c r="G868" s="2"/>
    </row>
    <row r="869" spans="4:7" ht="15.75" customHeight="1" x14ac:dyDescent="0.35">
      <c r="D869" s="2"/>
      <c r="E869" s="2"/>
      <c r="F869" s="2"/>
      <c r="G869" s="2"/>
    </row>
    <row r="870" spans="4:7" ht="15.75" customHeight="1" x14ac:dyDescent="0.35">
      <c r="D870" s="2"/>
      <c r="E870" s="2"/>
      <c r="F870" s="2"/>
      <c r="G870" s="2"/>
    </row>
    <row r="871" spans="4:7" ht="15.75" customHeight="1" x14ac:dyDescent="0.35">
      <c r="D871" s="2"/>
      <c r="E871" s="2"/>
      <c r="F871" s="2"/>
      <c r="G871" s="2"/>
    </row>
    <row r="872" spans="4:7" ht="15.75" customHeight="1" x14ac:dyDescent="0.35">
      <c r="D872" s="2"/>
      <c r="E872" s="2"/>
      <c r="F872" s="2"/>
      <c r="G872" s="2"/>
    </row>
    <row r="873" spans="4:7" ht="15.75" customHeight="1" x14ac:dyDescent="0.35">
      <c r="D873" s="2"/>
      <c r="E873" s="2"/>
      <c r="F873" s="2"/>
      <c r="G873" s="2"/>
    </row>
    <row r="874" spans="4:7" ht="15.75" customHeight="1" x14ac:dyDescent="0.35">
      <c r="D874" s="2"/>
      <c r="E874" s="2"/>
      <c r="F874" s="2"/>
      <c r="G874" s="2"/>
    </row>
    <row r="875" spans="4:7" ht="15.75" customHeight="1" x14ac:dyDescent="0.35">
      <c r="D875" s="2"/>
      <c r="E875" s="2"/>
      <c r="F875" s="2"/>
      <c r="G875" s="2"/>
    </row>
    <row r="876" spans="4:7" ht="15.75" customHeight="1" x14ac:dyDescent="0.35">
      <c r="D876" s="2"/>
      <c r="E876" s="2"/>
      <c r="F876" s="2"/>
      <c r="G876" s="2"/>
    </row>
    <row r="877" spans="4:7" ht="15.75" customHeight="1" x14ac:dyDescent="0.35">
      <c r="D877" s="2"/>
      <c r="E877" s="2"/>
      <c r="F877" s="2"/>
      <c r="G877" s="2"/>
    </row>
    <row r="878" spans="4:7" ht="15.75" customHeight="1" x14ac:dyDescent="0.35">
      <c r="D878" s="2"/>
      <c r="E878" s="2"/>
      <c r="F878" s="2"/>
      <c r="G878" s="2"/>
    </row>
    <row r="879" spans="4:7" ht="15.75" customHeight="1" x14ac:dyDescent="0.35">
      <c r="D879" s="2"/>
      <c r="E879" s="2"/>
      <c r="F879" s="2"/>
      <c r="G879" s="2"/>
    </row>
    <row r="880" spans="4:7" ht="15.75" customHeight="1" x14ac:dyDescent="0.35">
      <c r="D880" s="2"/>
      <c r="E880" s="2"/>
      <c r="F880" s="2"/>
      <c r="G880" s="2"/>
    </row>
    <row r="881" spans="4:7" ht="15.75" customHeight="1" x14ac:dyDescent="0.35">
      <c r="D881" s="2"/>
      <c r="E881" s="2"/>
      <c r="F881" s="2"/>
      <c r="G881" s="2"/>
    </row>
    <row r="882" spans="4:7" ht="15.75" customHeight="1" x14ac:dyDescent="0.35">
      <c r="D882" s="2"/>
      <c r="E882" s="2"/>
      <c r="F882" s="2"/>
      <c r="G882" s="2"/>
    </row>
    <row r="883" spans="4:7" ht="15.75" customHeight="1" x14ac:dyDescent="0.35">
      <c r="D883" s="2"/>
      <c r="E883" s="2"/>
      <c r="F883" s="2"/>
      <c r="G883" s="2"/>
    </row>
    <row r="884" spans="4:7" ht="15.75" customHeight="1" x14ac:dyDescent="0.35">
      <c r="D884" s="2"/>
      <c r="E884" s="2"/>
      <c r="F884" s="2"/>
      <c r="G884" s="2"/>
    </row>
    <row r="885" spans="4:7" ht="15.75" customHeight="1" x14ac:dyDescent="0.35">
      <c r="D885" s="2"/>
      <c r="E885" s="2"/>
      <c r="F885" s="2"/>
      <c r="G885" s="2"/>
    </row>
    <row r="886" spans="4:7" ht="15.75" customHeight="1" x14ac:dyDescent="0.35">
      <c r="D886" s="2"/>
      <c r="E886" s="2"/>
      <c r="F886" s="2"/>
      <c r="G886" s="2"/>
    </row>
    <row r="887" spans="4:7" ht="15.75" customHeight="1" x14ac:dyDescent="0.35">
      <c r="D887" s="2"/>
      <c r="E887" s="2"/>
      <c r="F887" s="2"/>
      <c r="G887" s="2"/>
    </row>
    <row r="888" spans="4:7" ht="15.75" customHeight="1" x14ac:dyDescent="0.35">
      <c r="D888" s="2"/>
      <c r="E888" s="2"/>
      <c r="F888" s="2"/>
      <c r="G888" s="2"/>
    </row>
    <row r="889" spans="4:7" ht="15.75" customHeight="1" x14ac:dyDescent="0.35">
      <c r="D889" s="2"/>
      <c r="E889" s="2"/>
      <c r="F889" s="2"/>
      <c r="G889" s="2"/>
    </row>
    <row r="890" spans="4:7" ht="15.75" customHeight="1" x14ac:dyDescent="0.35">
      <c r="D890" s="2"/>
      <c r="E890" s="2"/>
      <c r="F890" s="2"/>
      <c r="G890" s="2"/>
    </row>
    <row r="891" spans="4:7" ht="15.75" customHeight="1" x14ac:dyDescent="0.35">
      <c r="D891" s="2"/>
      <c r="E891" s="2"/>
      <c r="F891" s="2"/>
      <c r="G891" s="2"/>
    </row>
    <row r="892" spans="4:7" ht="15.75" customHeight="1" x14ac:dyDescent="0.35">
      <c r="D892" s="2"/>
      <c r="E892" s="2"/>
      <c r="F892" s="2"/>
      <c r="G892" s="2"/>
    </row>
    <row r="893" spans="4:7" ht="15.75" customHeight="1" x14ac:dyDescent="0.35">
      <c r="D893" s="2"/>
      <c r="E893" s="2"/>
      <c r="F893" s="2"/>
      <c r="G893" s="2"/>
    </row>
    <row r="894" spans="4:7" ht="15.75" customHeight="1" x14ac:dyDescent="0.35">
      <c r="D894" s="2"/>
      <c r="E894" s="2"/>
      <c r="F894" s="2"/>
      <c r="G894" s="2"/>
    </row>
    <row r="895" spans="4:7" ht="15.75" customHeight="1" x14ac:dyDescent="0.35">
      <c r="D895" s="2"/>
      <c r="E895" s="2"/>
      <c r="F895" s="2"/>
      <c r="G895" s="2"/>
    </row>
    <row r="896" spans="4:7" ht="15.75" customHeight="1" x14ac:dyDescent="0.35">
      <c r="D896" s="2"/>
      <c r="E896" s="2"/>
      <c r="F896" s="2"/>
      <c r="G896" s="2"/>
    </row>
    <row r="897" spans="4:7" ht="15.75" customHeight="1" x14ac:dyDescent="0.35">
      <c r="D897" s="2"/>
      <c r="E897" s="2"/>
      <c r="F897" s="2"/>
      <c r="G897" s="2"/>
    </row>
    <row r="898" spans="4:7" ht="15.75" customHeight="1" x14ac:dyDescent="0.35">
      <c r="D898" s="2"/>
      <c r="E898" s="2"/>
      <c r="F898" s="2"/>
      <c r="G898" s="2"/>
    </row>
    <row r="899" spans="4:7" ht="15.75" customHeight="1" x14ac:dyDescent="0.35">
      <c r="D899" s="2"/>
      <c r="E899" s="2"/>
      <c r="F899" s="2"/>
      <c r="G899" s="2"/>
    </row>
    <row r="900" spans="4:7" ht="15.75" customHeight="1" x14ac:dyDescent="0.35">
      <c r="D900" s="2"/>
      <c r="E900" s="2"/>
      <c r="F900" s="2"/>
      <c r="G900" s="2"/>
    </row>
    <row r="901" spans="4:7" ht="15.75" customHeight="1" x14ac:dyDescent="0.35">
      <c r="D901" s="2"/>
      <c r="E901" s="2"/>
      <c r="F901" s="2"/>
      <c r="G901" s="2"/>
    </row>
    <row r="902" spans="4:7" ht="15.75" customHeight="1" x14ac:dyDescent="0.35">
      <c r="D902" s="2"/>
      <c r="E902" s="2"/>
      <c r="F902" s="2"/>
      <c r="G902" s="2"/>
    </row>
    <row r="903" spans="4:7" ht="15.75" customHeight="1" x14ac:dyDescent="0.35">
      <c r="D903" s="2"/>
      <c r="E903" s="2"/>
      <c r="F903" s="2"/>
      <c r="G903" s="2"/>
    </row>
    <row r="904" spans="4:7" ht="15.75" customHeight="1" x14ac:dyDescent="0.35">
      <c r="D904" s="2"/>
      <c r="E904" s="2"/>
      <c r="F904" s="2"/>
      <c r="G904" s="2"/>
    </row>
    <row r="905" spans="4:7" ht="15.75" customHeight="1" x14ac:dyDescent="0.35">
      <c r="D905" s="2"/>
      <c r="E905" s="2"/>
      <c r="F905" s="2"/>
      <c r="G905" s="2"/>
    </row>
    <row r="906" spans="4:7" ht="15.75" customHeight="1" x14ac:dyDescent="0.35">
      <c r="D906" s="2"/>
      <c r="E906" s="2"/>
      <c r="F906" s="2"/>
      <c r="G906" s="2"/>
    </row>
    <row r="907" spans="4:7" ht="15.75" customHeight="1" x14ac:dyDescent="0.35">
      <c r="D907" s="2"/>
      <c r="E907" s="2"/>
      <c r="F907" s="2"/>
      <c r="G907" s="2"/>
    </row>
    <row r="908" spans="4:7" ht="15.75" customHeight="1" x14ac:dyDescent="0.35">
      <c r="D908" s="2"/>
      <c r="E908" s="2"/>
      <c r="F908" s="2"/>
      <c r="G908" s="2"/>
    </row>
    <row r="909" spans="4:7" ht="15.75" customHeight="1" x14ac:dyDescent="0.35">
      <c r="D909" s="2"/>
      <c r="E909" s="2"/>
      <c r="F909" s="2"/>
      <c r="G909" s="2"/>
    </row>
    <row r="910" spans="4:7" ht="15.75" customHeight="1" x14ac:dyDescent="0.35">
      <c r="D910" s="2"/>
      <c r="E910" s="2"/>
      <c r="F910" s="2"/>
      <c r="G910" s="2"/>
    </row>
    <row r="911" spans="4:7" ht="15.75" customHeight="1" x14ac:dyDescent="0.35">
      <c r="D911" s="2"/>
      <c r="E911" s="2"/>
      <c r="F911" s="2"/>
      <c r="G911" s="2"/>
    </row>
    <row r="912" spans="4:7" ht="15.75" customHeight="1" x14ac:dyDescent="0.35">
      <c r="D912" s="2"/>
      <c r="E912" s="2"/>
      <c r="F912" s="2"/>
      <c r="G912" s="2"/>
    </row>
    <row r="913" spans="4:7" ht="15.75" customHeight="1" x14ac:dyDescent="0.35">
      <c r="D913" s="2"/>
      <c r="E913" s="2"/>
      <c r="F913" s="2"/>
      <c r="G913" s="2"/>
    </row>
    <row r="914" spans="4:7" ht="15.75" customHeight="1" x14ac:dyDescent="0.35">
      <c r="D914" s="2"/>
      <c r="E914" s="2"/>
      <c r="F914" s="2"/>
      <c r="G914" s="2"/>
    </row>
    <row r="915" spans="4:7" ht="15.75" customHeight="1" x14ac:dyDescent="0.35">
      <c r="D915" s="2"/>
      <c r="E915" s="2"/>
      <c r="F915" s="2"/>
      <c r="G915" s="2"/>
    </row>
    <row r="916" spans="4:7" ht="15.75" customHeight="1" x14ac:dyDescent="0.35">
      <c r="D916" s="2"/>
      <c r="E916" s="2"/>
      <c r="F916" s="2"/>
      <c r="G916" s="2"/>
    </row>
    <row r="917" spans="4:7" ht="15.75" customHeight="1" x14ac:dyDescent="0.35">
      <c r="D917" s="2"/>
      <c r="E917" s="2"/>
      <c r="F917" s="2"/>
      <c r="G917" s="2"/>
    </row>
    <row r="918" spans="4:7" ht="15.75" customHeight="1" x14ac:dyDescent="0.35">
      <c r="D918" s="2"/>
      <c r="E918" s="2"/>
      <c r="F918" s="2"/>
      <c r="G918" s="2"/>
    </row>
    <row r="919" spans="4:7" ht="15.75" customHeight="1" x14ac:dyDescent="0.35">
      <c r="D919" s="2"/>
      <c r="E919" s="2"/>
      <c r="F919" s="2"/>
      <c r="G919" s="2"/>
    </row>
    <row r="920" spans="4:7" ht="15.75" customHeight="1" x14ac:dyDescent="0.35">
      <c r="D920" s="2"/>
      <c r="E920" s="2"/>
      <c r="F920" s="2"/>
      <c r="G920" s="2"/>
    </row>
    <row r="921" spans="4:7" ht="15.75" customHeight="1" x14ac:dyDescent="0.35">
      <c r="D921" s="2"/>
      <c r="E921" s="2"/>
      <c r="F921" s="2"/>
      <c r="G921" s="2"/>
    </row>
    <row r="922" spans="4:7" ht="15.75" customHeight="1" x14ac:dyDescent="0.35">
      <c r="D922" s="2"/>
      <c r="E922" s="2"/>
      <c r="F922" s="2"/>
      <c r="G922" s="2"/>
    </row>
    <row r="923" spans="4:7" ht="15.75" customHeight="1" x14ac:dyDescent="0.35">
      <c r="D923" s="2"/>
      <c r="E923" s="2"/>
      <c r="F923" s="2"/>
      <c r="G923" s="2"/>
    </row>
    <row r="924" spans="4:7" ht="15.75" customHeight="1" x14ac:dyDescent="0.35">
      <c r="D924" s="2"/>
      <c r="E924" s="2"/>
      <c r="F924" s="2"/>
      <c r="G924" s="2"/>
    </row>
    <row r="925" spans="4:7" ht="15.75" customHeight="1" x14ac:dyDescent="0.35">
      <c r="D925" s="2"/>
      <c r="E925" s="2"/>
      <c r="F925" s="2"/>
      <c r="G925" s="2"/>
    </row>
    <row r="926" spans="4:7" ht="15.75" customHeight="1" x14ac:dyDescent="0.35">
      <c r="D926" s="2"/>
      <c r="E926" s="2"/>
      <c r="F926" s="2"/>
      <c r="G926" s="2"/>
    </row>
    <row r="927" spans="4:7" ht="15.75" customHeight="1" x14ac:dyDescent="0.35">
      <c r="D927" s="2"/>
      <c r="E927" s="2"/>
      <c r="F927" s="2"/>
      <c r="G927" s="2"/>
    </row>
    <row r="928" spans="4:7" ht="15.75" customHeight="1" x14ac:dyDescent="0.35">
      <c r="D928" s="2"/>
      <c r="E928" s="2"/>
      <c r="F928" s="2"/>
      <c r="G928" s="2"/>
    </row>
    <row r="929" spans="4:7" ht="15.75" customHeight="1" x14ac:dyDescent="0.35">
      <c r="D929" s="2"/>
      <c r="E929" s="2"/>
      <c r="F929" s="2"/>
      <c r="G929" s="2"/>
    </row>
    <row r="930" spans="4:7" ht="15.75" customHeight="1" x14ac:dyDescent="0.35">
      <c r="D930" s="2"/>
      <c r="E930" s="2"/>
      <c r="F930" s="2"/>
      <c r="G930" s="2"/>
    </row>
    <row r="931" spans="4:7" ht="15.75" customHeight="1" x14ac:dyDescent="0.35">
      <c r="D931" s="2"/>
      <c r="E931" s="2"/>
      <c r="F931" s="2"/>
      <c r="G931" s="2"/>
    </row>
    <row r="932" spans="4:7" ht="15.75" customHeight="1" x14ac:dyDescent="0.35">
      <c r="D932" s="2"/>
      <c r="E932" s="2"/>
      <c r="F932" s="2"/>
      <c r="G932" s="2"/>
    </row>
    <row r="933" spans="4:7" ht="15.75" customHeight="1" x14ac:dyDescent="0.35">
      <c r="D933" s="2"/>
      <c r="E933" s="2"/>
      <c r="F933" s="2"/>
      <c r="G933" s="2"/>
    </row>
    <row r="934" spans="4:7" ht="15.75" customHeight="1" x14ac:dyDescent="0.35">
      <c r="D934" s="2"/>
      <c r="E934" s="2"/>
      <c r="F934" s="2"/>
      <c r="G934" s="2"/>
    </row>
    <row r="935" spans="4:7" ht="15.75" customHeight="1" x14ac:dyDescent="0.35">
      <c r="D935" s="2"/>
      <c r="E935" s="2"/>
      <c r="F935" s="2"/>
      <c r="G935" s="2"/>
    </row>
    <row r="936" spans="4:7" ht="15.75" customHeight="1" x14ac:dyDescent="0.35">
      <c r="D936" s="2"/>
      <c r="E936" s="2"/>
      <c r="F936" s="2"/>
      <c r="G936" s="2"/>
    </row>
    <row r="937" spans="4:7" ht="15.75" customHeight="1" x14ac:dyDescent="0.35">
      <c r="D937" s="2"/>
      <c r="E937" s="2"/>
      <c r="F937" s="2"/>
      <c r="G937" s="2"/>
    </row>
    <row r="938" spans="4:7" ht="15.75" customHeight="1" x14ac:dyDescent="0.35">
      <c r="D938" s="2"/>
      <c r="E938" s="2"/>
      <c r="F938" s="2"/>
      <c r="G938" s="2"/>
    </row>
    <row r="939" spans="4:7" ht="15.75" customHeight="1" x14ac:dyDescent="0.35">
      <c r="D939" s="2"/>
      <c r="E939" s="2"/>
      <c r="F939" s="2"/>
      <c r="G939" s="2"/>
    </row>
    <row r="940" spans="4:7" ht="15.75" customHeight="1" x14ac:dyDescent="0.35">
      <c r="D940" s="2"/>
      <c r="E940" s="2"/>
      <c r="F940" s="2"/>
      <c r="G940" s="2"/>
    </row>
    <row r="941" spans="4:7" ht="15.75" customHeight="1" x14ac:dyDescent="0.35">
      <c r="D941" s="2"/>
      <c r="E941" s="2"/>
      <c r="F941" s="2"/>
      <c r="G941" s="2"/>
    </row>
    <row r="942" spans="4:7" ht="15.75" customHeight="1" x14ac:dyDescent="0.35">
      <c r="D942" s="2"/>
      <c r="E942" s="2"/>
      <c r="F942" s="2"/>
      <c r="G942" s="2"/>
    </row>
    <row r="943" spans="4:7" ht="15.75" customHeight="1" x14ac:dyDescent="0.35">
      <c r="D943" s="2"/>
      <c r="E943" s="2"/>
      <c r="F943" s="2"/>
      <c r="G943" s="2"/>
    </row>
    <row r="944" spans="4:7" ht="15.75" customHeight="1" x14ac:dyDescent="0.35">
      <c r="D944" s="2"/>
      <c r="E944" s="2"/>
      <c r="F944" s="2"/>
      <c r="G944" s="2"/>
    </row>
    <row r="945" spans="4:7" ht="15.75" customHeight="1" x14ac:dyDescent="0.35">
      <c r="D945" s="2"/>
      <c r="E945" s="2"/>
      <c r="F945" s="2"/>
      <c r="G945" s="2"/>
    </row>
    <row r="946" spans="4:7" ht="15.75" customHeight="1" x14ac:dyDescent="0.35">
      <c r="D946" s="2"/>
      <c r="E946" s="2"/>
      <c r="F946" s="2"/>
      <c r="G946" s="2"/>
    </row>
    <row r="947" spans="4:7" ht="15.75" customHeight="1" x14ac:dyDescent="0.35">
      <c r="D947" s="2"/>
      <c r="E947" s="2"/>
      <c r="F947" s="2"/>
      <c r="G947" s="2"/>
    </row>
    <row r="948" spans="4:7" ht="15.75" customHeight="1" x14ac:dyDescent="0.35">
      <c r="D948" s="2"/>
      <c r="E948" s="2"/>
      <c r="F948" s="2"/>
      <c r="G948" s="2"/>
    </row>
    <row r="949" spans="4:7" ht="15.75" customHeight="1" x14ac:dyDescent="0.35">
      <c r="D949" s="2"/>
      <c r="E949" s="2"/>
      <c r="F949" s="2"/>
      <c r="G949" s="2"/>
    </row>
    <row r="950" spans="4:7" ht="15.75" customHeight="1" x14ac:dyDescent="0.35">
      <c r="D950" s="2"/>
      <c r="E950" s="2"/>
      <c r="F950" s="2"/>
      <c r="G950" s="2"/>
    </row>
    <row r="951" spans="4:7" ht="15.75" customHeight="1" x14ac:dyDescent="0.35">
      <c r="D951" s="2"/>
      <c r="E951" s="2"/>
      <c r="F951" s="2"/>
      <c r="G951" s="2"/>
    </row>
    <row r="952" spans="4:7" ht="15.75" customHeight="1" x14ac:dyDescent="0.35">
      <c r="D952" s="2"/>
      <c r="E952" s="2"/>
      <c r="F952" s="2"/>
      <c r="G952" s="2"/>
    </row>
    <row r="953" spans="4:7" ht="15.75" customHeight="1" x14ac:dyDescent="0.35">
      <c r="D953" s="2"/>
      <c r="E953" s="2"/>
      <c r="F953" s="2"/>
      <c r="G953" s="2"/>
    </row>
    <row r="954" spans="4:7" ht="15.75" customHeight="1" x14ac:dyDescent="0.35">
      <c r="D954" s="2"/>
      <c r="E954" s="2"/>
      <c r="F954" s="2"/>
      <c r="G954" s="2"/>
    </row>
    <row r="955" spans="4:7" ht="15.75" customHeight="1" x14ac:dyDescent="0.35">
      <c r="D955" s="2"/>
      <c r="E955" s="2"/>
      <c r="F955" s="2"/>
      <c r="G955" s="2"/>
    </row>
    <row r="956" spans="4:7" ht="15.75" customHeight="1" x14ac:dyDescent="0.35">
      <c r="D956" s="2"/>
      <c r="E956" s="2"/>
      <c r="F956" s="2"/>
      <c r="G956" s="2"/>
    </row>
    <row r="957" spans="4:7" ht="15.75" customHeight="1" x14ac:dyDescent="0.35">
      <c r="D957" s="2"/>
      <c r="E957" s="2"/>
      <c r="F957" s="2"/>
      <c r="G957" s="2"/>
    </row>
    <row r="958" spans="4:7" ht="15.75" customHeight="1" x14ac:dyDescent="0.35">
      <c r="D958" s="2"/>
      <c r="E958" s="2"/>
      <c r="F958" s="2"/>
      <c r="G958" s="2"/>
    </row>
    <row r="959" spans="4:7" ht="15.75" customHeight="1" x14ac:dyDescent="0.35">
      <c r="D959" s="2"/>
      <c r="E959" s="2"/>
      <c r="F959" s="2"/>
      <c r="G959" s="2"/>
    </row>
    <row r="960" spans="4:7" ht="15.75" customHeight="1" x14ac:dyDescent="0.35">
      <c r="D960" s="2"/>
      <c r="E960" s="2"/>
      <c r="F960" s="2"/>
      <c r="G960" s="2"/>
    </row>
    <row r="961" spans="4:7" ht="15.75" customHeight="1" x14ac:dyDescent="0.35">
      <c r="D961" s="2"/>
      <c r="E961" s="2"/>
      <c r="F961" s="2"/>
      <c r="G961" s="2"/>
    </row>
    <row r="962" spans="4:7" ht="15.75" customHeight="1" x14ac:dyDescent="0.35">
      <c r="D962" s="2"/>
      <c r="E962" s="2"/>
      <c r="F962" s="2"/>
      <c r="G962" s="2"/>
    </row>
    <row r="963" spans="4:7" ht="15.75" customHeight="1" x14ac:dyDescent="0.35">
      <c r="D963" s="2"/>
      <c r="E963" s="2"/>
      <c r="F963" s="2"/>
      <c r="G963" s="2"/>
    </row>
    <row r="964" spans="4:7" ht="15.75" customHeight="1" x14ac:dyDescent="0.35">
      <c r="D964" s="2"/>
      <c r="E964" s="2"/>
      <c r="F964" s="2"/>
      <c r="G964" s="2"/>
    </row>
    <row r="965" spans="4:7" ht="15.75" customHeight="1" x14ac:dyDescent="0.35">
      <c r="D965" s="2"/>
      <c r="E965" s="2"/>
      <c r="F965" s="2"/>
      <c r="G965" s="2"/>
    </row>
    <row r="966" spans="4:7" ht="15.75" customHeight="1" x14ac:dyDescent="0.35">
      <c r="D966" s="2"/>
      <c r="E966" s="2"/>
      <c r="F966" s="2"/>
      <c r="G966" s="2"/>
    </row>
    <row r="967" spans="4:7" ht="15.75" customHeight="1" x14ac:dyDescent="0.35">
      <c r="D967" s="2"/>
      <c r="E967" s="2"/>
      <c r="F967" s="2"/>
      <c r="G967" s="2"/>
    </row>
    <row r="968" spans="4:7" ht="15.75" customHeight="1" x14ac:dyDescent="0.35">
      <c r="D968" s="2"/>
      <c r="E968" s="2"/>
      <c r="F968" s="2"/>
      <c r="G968" s="2"/>
    </row>
    <row r="969" spans="4:7" ht="15.75" customHeight="1" x14ac:dyDescent="0.35">
      <c r="D969" s="2"/>
      <c r="E969" s="2"/>
      <c r="F969" s="2"/>
      <c r="G969" s="2"/>
    </row>
    <row r="970" spans="4:7" ht="15.75" customHeight="1" x14ac:dyDescent="0.35">
      <c r="D970" s="2"/>
      <c r="E970" s="2"/>
      <c r="F970" s="2"/>
      <c r="G970" s="2"/>
    </row>
    <row r="971" spans="4:7" ht="15.75" customHeight="1" x14ac:dyDescent="0.35">
      <c r="D971" s="2"/>
      <c r="E971" s="2"/>
      <c r="F971" s="2"/>
      <c r="G971" s="2"/>
    </row>
    <row r="972" spans="4:7" ht="15.75" customHeight="1" x14ac:dyDescent="0.35">
      <c r="D972" s="2"/>
      <c r="E972" s="2"/>
      <c r="F972" s="2"/>
      <c r="G972" s="2"/>
    </row>
    <row r="973" spans="4:7" ht="15.75" customHeight="1" x14ac:dyDescent="0.35">
      <c r="D973" s="2"/>
      <c r="E973" s="2"/>
      <c r="F973" s="2"/>
      <c r="G973" s="2"/>
    </row>
    <row r="974" spans="4:7" ht="15.75" customHeight="1" x14ac:dyDescent="0.35">
      <c r="D974" s="2"/>
      <c r="E974" s="2"/>
      <c r="F974" s="2"/>
      <c r="G974" s="2"/>
    </row>
    <row r="975" spans="4:7" ht="15.75" customHeight="1" x14ac:dyDescent="0.35">
      <c r="D975" s="2"/>
      <c r="E975" s="2"/>
      <c r="F975" s="2"/>
      <c r="G975" s="2"/>
    </row>
    <row r="976" spans="4:7" ht="15.75" customHeight="1" x14ac:dyDescent="0.35">
      <c r="D976" s="2"/>
      <c r="E976" s="2"/>
      <c r="F976" s="2"/>
      <c r="G976" s="2"/>
    </row>
    <row r="977" spans="4:7" ht="15.75" customHeight="1" x14ac:dyDescent="0.35">
      <c r="D977" s="2"/>
      <c r="E977" s="2"/>
      <c r="F977" s="2"/>
      <c r="G977" s="2"/>
    </row>
    <row r="978" spans="4:7" ht="15.75" customHeight="1" x14ac:dyDescent="0.35">
      <c r="D978" s="2"/>
      <c r="E978" s="2"/>
      <c r="F978" s="2"/>
      <c r="G978" s="2"/>
    </row>
    <row r="979" spans="4:7" ht="15.75" customHeight="1" x14ac:dyDescent="0.35">
      <c r="D979" s="2"/>
      <c r="E979" s="2"/>
      <c r="F979" s="2"/>
      <c r="G979" s="2"/>
    </row>
    <row r="980" spans="4:7" ht="15.75" customHeight="1" x14ac:dyDescent="0.35">
      <c r="D980" s="2"/>
      <c r="E980" s="2"/>
      <c r="F980" s="2"/>
      <c r="G980" s="2"/>
    </row>
    <row r="981" spans="4:7" ht="15.75" customHeight="1" x14ac:dyDescent="0.35">
      <c r="D981" s="2"/>
      <c r="E981" s="2"/>
      <c r="F981" s="2"/>
      <c r="G981" s="2"/>
    </row>
    <row r="982" spans="4:7" ht="15.75" customHeight="1" x14ac:dyDescent="0.35">
      <c r="D982" s="2"/>
      <c r="E982" s="2"/>
      <c r="F982" s="2"/>
      <c r="G982" s="2"/>
    </row>
    <row r="983" spans="4:7" ht="15.75" customHeight="1" x14ac:dyDescent="0.35">
      <c r="D983" s="2"/>
      <c r="E983" s="2"/>
      <c r="F983" s="2"/>
      <c r="G983" s="2"/>
    </row>
    <row r="984" spans="4:7" ht="15.75" customHeight="1" x14ac:dyDescent="0.35">
      <c r="D984" s="2"/>
      <c r="E984" s="2"/>
      <c r="F984" s="2"/>
      <c r="G984" s="2"/>
    </row>
    <row r="985" spans="4:7" ht="15.75" customHeight="1" x14ac:dyDescent="0.35">
      <c r="D985" s="2"/>
      <c r="E985" s="2"/>
      <c r="F985" s="2"/>
      <c r="G985" s="2"/>
    </row>
    <row r="986" spans="4:7" ht="15.75" customHeight="1" x14ac:dyDescent="0.35">
      <c r="D986" s="2"/>
      <c r="E986" s="2"/>
      <c r="F986" s="2"/>
      <c r="G986" s="2"/>
    </row>
    <row r="987" spans="4:7" ht="15.75" customHeight="1" x14ac:dyDescent="0.35">
      <c r="D987" s="2"/>
      <c r="E987" s="2"/>
      <c r="F987" s="2"/>
      <c r="G987" s="2"/>
    </row>
    <row r="988" spans="4:7" ht="15.75" customHeight="1" x14ac:dyDescent="0.35">
      <c r="D988" s="2"/>
      <c r="E988" s="2"/>
      <c r="F988" s="2"/>
      <c r="G988" s="2"/>
    </row>
    <row r="989" spans="4:7" ht="15.75" customHeight="1" x14ac:dyDescent="0.35">
      <c r="D989" s="2"/>
      <c r="E989" s="2"/>
      <c r="F989" s="2"/>
      <c r="G989" s="2"/>
    </row>
    <row r="990" spans="4:7" ht="15.75" customHeight="1" x14ac:dyDescent="0.35">
      <c r="D990" s="2"/>
      <c r="E990" s="2"/>
      <c r="F990" s="2"/>
      <c r="G990" s="2"/>
    </row>
    <row r="991" spans="4:7" ht="15.75" customHeight="1" x14ac:dyDescent="0.35">
      <c r="D991" s="2"/>
      <c r="E991" s="2"/>
      <c r="F991" s="2"/>
      <c r="G991" s="2"/>
    </row>
    <row r="992" spans="4:7" ht="15.75" customHeight="1" x14ac:dyDescent="0.35">
      <c r="D992" s="2"/>
      <c r="E992" s="2"/>
      <c r="F992" s="2"/>
      <c r="G992" s="2"/>
    </row>
    <row r="993" spans="4:7" ht="15.75" customHeight="1" x14ac:dyDescent="0.35">
      <c r="D993" s="2"/>
      <c r="E993" s="2"/>
      <c r="F993" s="2"/>
      <c r="G993" s="2"/>
    </row>
    <row r="994" spans="4:7" ht="15.75" customHeight="1" x14ac:dyDescent="0.35">
      <c r="D994" s="2"/>
      <c r="E994" s="2"/>
      <c r="F994" s="2"/>
      <c r="G994" s="2"/>
    </row>
    <row r="995" spans="4:7" ht="15.75" customHeight="1" x14ac:dyDescent="0.35">
      <c r="D995" s="2"/>
      <c r="E995" s="2"/>
      <c r="F995" s="2"/>
      <c r="G995" s="2"/>
    </row>
    <row r="996" spans="4:7" ht="15.75" customHeight="1" x14ac:dyDescent="0.35">
      <c r="D996" s="2"/>
      <c r="E996" s="2"/>
      <c r="F996" s="2"/>
      <c r="G996" s="2"/>
    </row>
    <row r="997" spans="4:7" ht="15.75" customHeight="1" x14ac:dyDescent="0.35">
      <c r="D997" s="2"/>
      <c r="E997" s="2"/>
      <c r="F997" s="2"/>
      <c r="G997" s="2"/>
    </row>
    <row r="998" spans="4:7" ht="15.75" customHeight="1" x14ac:dyDescent="0.35">
      <c r="D998" s="2"/>
      <c r="E998" s="2"/>
      <c r="F998" s="2"/>
      <c r="G998" s="2"/>
    </row>
    <row r="999" spans="4:7" ht="15.75" customHeight="1" x14ac:dyDescent="0.35">
      <c r="D999" s="2"/>
      <c r="E999" s="2"/>
      <c r="F999" s="2"/>
      <c r="G999" s="2"/>
    </row>
    <row r="1000" spans="4:7" ht="15.75" customHeight="1" x14ac:dyDescent="0.35">
      <c r="D1000" s="2"/>
      <c r="E1000" s="2"/>
      <c r="F1000" s="2"/>
      <c r="G1000" s="2"/>
    </row>
  </sheetData>
  <mergeCells count="3">
    <mergeCell ref="I1:Q1"/>
    <mergeCell ref="S1:AA1"/>
    <mergeCell ref="AC1:AK1"/>
  </mergeCells>
  <phoneticPr fontId="18" type="noConversion"/>
  <conditionalFormatting sqref="B3:M3 B4 D4:L4 B5:L10 C11:L11 B12 D12:L12 B13:L46 C47:L47 B48:L69 L5:M5 L17:M17 L30:M30 L34:M34 L40:M40 L46:M50 L54:M54 L61:M62 L65:M65 L68:M69 M3:AK69">
    <cfRule type="containsText" dxfId="106" priority="2" operator="containsText" text="N/A">
      <formula>NOT(ISERROR(SEARCH(("N/A"),(B3))))</formula>
    </cfRule>
  </conditionalFormatting>
  <conditionalFormatting sqref="B3:M3 B4 B5:L10 C11:L11 B12 D12:L12 B13:L46 C47:L47 B48:L69 D4:M4 L5:M5 L17:M17 L30:M30 L34:M34 L40:M40 L46:M50 L54:M54 L61:M62 L65:M65 L68:M69 M3:AK69">
    <cfRule type="containsText" dxfId="105" priority="3" operator="containsText" text="Christchurch">
      <formula>NOT(ISERROR(SEARCH(("Christchurch"),(B3))))</formula>
    </cfRule>
    <cfRule type="containsText" dxfId="104" priority="4" operator="containsText" text="Hamilton">
      <formula>NOT(ISERROR(SEARCH(("Hamilton"),(B3))))</formula>
    </cfRule>
    <cfRule type="containsText" dxfId="103" priority="5" operator="containsText" text="Tauranga">
      <formula>NOT(ISERROR(SEARCH(("Tauranga"),(B3))))</formula>
    </cfRule>
    <cfRule type="containsText" dxfId="102" priority="6" operator="containsText" text="North Island">
      <formula>NOT(ISERROR(SEARCH(("North Island"),(B3))))</formula>
    </cfRule>
    <cfRule type="containsText" dxfId="101" priority="7" operator="containsText" text="South Island">
      <formula>NOT(ISERROR(SEARCH(("South Island"),(B3))))</formula>
    </cfRule>
    <cfRule type="containsText" dxfId="100" priority="8" operator="containsText" text="Hybrid">
      <formula>NOT(ISERROR(SEARCH(("Hybrid"),(B3))))</formula>
    </cfRule>
    <cfRule type="containsText" dxfId="99" priority="9" operator="containsText" text="N/A">
      <formula>NOT(ISERROR(SEARCH(("N/A"),(B3))))</formula>
    </cfRule>
    <cfRule type="containsText" dxfId="98" priority="10" operator="containsText" text="NonREQR">
      <formula>NOT(ISERROR(SEARCH(("NonREQR"),(B3))))</formula>
    </cfRule>
    <cfRule type="containsText" dxfId="97" priority="11" operator="containsText" text="Otago">
      <formula>NOT(ISERROR(SEARCH(("Otago"),(B3))))</formula>
    </cfRule>
    <cfRule type="containsText" dxfId="96" priority="12" operator="containsText" text="Auckland">
      <formula>NOT(ISERROR(SEARCH(("Auckland"),(B3))))</formula>
    </cfRule>
    <cfRule type="containsText" dxfId="95" priority="13" operator="containsText" text="Return to Practice">
      <formula>NOT(ISERROR(SEARCH(("Return to Practice"),(B3))))</formula>
    </cfRule>
    <cfRule type="containsText" dxfId="94" priority="15" operator="containsText" text="Glitch">
      <formula>NOT(ISERROR(SEARCH(("Glitch"),(B3))))</formula>
    </cfRule>
    <cfRule type="containsText" dxfId="93" priority="16" operator="containsText" text="Fail">
      <formula>NOT(ISERROR(SEARCH(("Fail"),(B3))))</formula>
    </cfRule>
    <cfRule type="containsText" dxfId="92" priority="17" operator="containsText" text="Pass">
      <formula>NOT(ISERROR(SEARCH(("Pass"),(B3))))</formula>
    </cfRule>
    <cfRule type="containsText" dxfId="91" priority="18" operator="containsText" text="No">
      <formula>NOT(ISERROR(SEARCH(("No"),(B3))))</formula>
    </cfRule>
    <cfRule type="containsText" dxfId="90" priority="19" operator="containsText" text="Not Done">
      <formula>NOT(ISERROR(SEARCH(("Not Done"),(B3))))</formula>
    </cfRule>
  </conditionalFormatting>
  <conditionalFormatting sqref="B3:M3 B4 B5:L46 C47:L47 B48:L69 D4:M4 L5:M5 L17:M17 L30:M30 L34:M34 L40:M40 L46:M50 L54:M54 L61:M62 L65:M65 L68:M69 M3:AK69">
    <cfRule type="containsText" dxfId="89" priority="20" operator="containsText" text="Pending">
      <formula>NOT(ISERROR(SEARCH(("Pending"),(B3))))</formula>
    </cfRule>
  </conditionalFormatting>
  <conditionalFormatting sqref="B5:L10 C11:L11 D12:L12 B13:L46 C47:L47 B48:L69 B4 B12 B3:M3 D4:M4 L5:M5 L17:M17 L30:M30 L34:M34 L40:M40 L46:M50 L54:M54 L61:M62 L65:M65 L68:M69 M3:AK69">
    <cfRule type="containsText" dxfId="88" priority="35" operator="containsText" text="3/3">
      <formula>NOT(ISERROR(SEARCH(("3/3"),(B3))))</formula>
    </cfRule>
    <cfRule type="containsText" dxfId="87" priority="36" operator="containsText" text="Yes">
      <formula>NOT(ISERROR(SEARCH(("Yes"),(B3))))</formula>
    </cfRule>
  </conditionalFormatting>
  <conditionalFormatting sqref="B3:C3 AH3:AK69 B4 B5:C10 C11 B12 B13:C46 C47 B48:C69 H3:AB69 B2:AK2">
    <cfRule type="containsText" dxfId="86" priority="1" operator="containsText" text="N/A">
      <formula>NOT(ISERROR(SEARCH(("N/A"),(B2))))</formula>
    </cfRule>
  </conditionalFormatting>
  <conditionalFormatting sqref="D3:D69">
    <cfRule type="containsText" dxfId="85" priority="21" operator="containsText" text="Wellington">
      <formula>NOT(ISERROR(SEARCH(("Wellington"),(D3))))</formula>
    </cfRule>
    <cfRule type="containsText" dxfId="84" priority="22" operator="containsText" text="Hamilton">
      <formula>NOT(ISERROR(SEARCH(("Hamilton"),(D3))))</formula>
    </cfRule>
    <cfRule type="containsText" dxfId="83" priority="23" operator="containsText" text="North Island">
      <formula>NOT(ISERROR(SEARCH(("North Island"),(D3))))</formula>
    </cfRule>
    <cfRule type="containsText" dxfId="82" priority="24" operator="containsText" text="N/A">
      <formula>NOT(ISERROR(SEARCH(("N/A"),(D3))))</formula>
    </cfRule>
    <cfRule type="containsText" dxfId="81" priority="25" operator="containsText" text="NonREQR">
      <formula>NOT(ISERROR(SEARCH(("NonREQR"),(D3))))</formula>
    </cfRule>
    <cfRule type="containsText" dxfId="80" priority="26" operator="containsText" text="Otago">
      <formula>NOT(ISERROR(SEARCH(("Otago"),(D3))))</formula>
    </cfRule>
    <cfRule type="containsText" dxfId="79" priority="27" operator="containsText" text="Auckland">
      <formula>NOT(ISERROR(SEARCH(("Auckland"),(D3))))</formula>
    </cfRule>
    <cfRule type="containsText" dxfId="78" priority="28" operator="containsText" text="Return to Practice">
      <formula>NOT(ISERROR(SEARCH(("Return to Practice"),(D3))))</formula>
    </cfRule>
  </conditionalFormatting>
  <conditionalFormatting sqref="F3:G69">
    <cfRule type="containsText" dxfId="77" priority="29" operator="containsText" text="Purple">
      <formula>NOT(ISERROR(SEARCH(("Purple"),(F3))))</formula>
    </cfRule>
    <cfRule type="containsText" dxfId="76" priority="30" operator="containsText" text="Red">
      <formula>NOT(ISERROR(SEARCH(("Red"),(F3))))</formula>
    </cfRule>
    <cfRule type="containsText" dxfId="75" priority="31" operator="containsText" text="Orange">
      <formula>NOT(ISERROR(SEARCH(("Orange"),(F3))))</formula>
    </cfRule>
    <cfRule type="containsText" dxfId="74" priority="32" operator="containsText" text="Yellow">
      <formula>NOT(ISERROR(SEARCH(("Yellow"),(F3))))</formula>
    </cfRule>
    <cfRule type="containsText" dxfId="73" priority="33" operator="containsText" text="Green">
      <formula>NOT(ISERROR(SEARCH(("Green"),(F3))))</formula>
    </cfRule>
  </conditionalFormatting>
  <conditionalFormatting sqref="I3:AK69">
    <cfRule type="containsText" dxfId="72" priority="34" operator="containsText" text="Not Done">
      <formula>NOT(ISERROR(SEARCH(("Not Done"),(I3))))</formula>
    </cfRule>
  </conditionalFormatting>
  <conditionalFormatting sqref="I3:R69">
    <cfRule type="cellIs" dxfId="71" priority="37" operator="equal">
      <formula>10</formula>
    </cfRule>
    <cfRule type="cellIs" dxfId="70" priority="38" operator="between">
      <formula>0</formula>
      <formula>9</formula>
    </cfRule>
    <cfRule type="cellIs" dxfId="69" priority="39" operator="equal">
      <formula>12</formula>
    </cfRule>
    <cfRule type="cellIs" dxfId="68" priority="40" operator="equal">
      <formula>11</formula>
    </cfRule>
  </conditionalFormatting>
  <conditionalFormatting sqref="S1">
    <cfRule type="containsText" dxfId="67" priority="41" operator="containsText" text="N/A">
      <formula>NOT(ISERROR(SEARCH(("N/A"),(S1))))</formula>
    </cfRule>
  </conditionalFormatting>
  <conditionalFormatting sqref="S3:AB69">
    <cfRule type="cellIs" dxfId="66" priority="42" operator="greaterThan">
      <formula>1</formula>
    </cfRule>
  </conditionalFormatting>
  <conditionalFormatting sqref="AC1">
    <cfRule type="containsText" dxfId="65" priority="43" operator="containsText" text="N/A">
      <formula>NOT(ISERROR(SEARCH(("N/A"),(AC1))))</formula>
    </cfRule>
  </conditionalFormatting>
  <conditionalFormatting sqref="AC3:AG69">
    <cfRule type="containsText" dxfId="64" priority="44" operator="containsText" text="2/3">
      <formula>NOT(ISERROR(SEARCH(("2/3"),(AC3))))</formula>
    </cfRule>
    <cfRule type="containsText" dxfId="63" priority="45" operator="containsText" text="1/3">
      <formula>NOT(ISERROR(SEARCH(("1/3"),(AC3))))</formula>
    </cfRule>
  </conditionalFormatting>
  <conditionalFormatting sqref="AC3:AK69">
    <cfRule type="containsText" dxfId="62" priority="46" operator="containsText" text="0/3">
      <formula>NOT(ISERROR(SEARCH(("0/3"),(AC3))))</formula>
    </cfRule>
  </conditionalFormatting>
  <dataValidations count="5">
    <dataValidation type="list" allowBlank="1" showErrorMessage="1" sqref="S3:S69" xr:uid="{00000000-0002-0000-0000-000001000000}">
      <formula1>"Not Done,0,1,2,3,4,5,6,7,8,9,10,11,12,13,14,15,16,17,18,19,20,21,22,23,24,25,26"</formula1>
    </dataValidation>
    <dataValidation type="list" allowBlank="1" showErrorMessage="1" sqref="T3:T69" xr:uid="{00000000-0002-0000-0000-000002000000}">
      <formula1>"0,1,2,3,4,5,6,7,8,9,10,11,12,13,14,15,Not Done"</formula1>
    </dataValidation>
    <dataValidation type="list" allowBlank="1" showErrorMessage="1" sqref="G3:G69" xr:uid="{00000000-0002-0000-0000-000005000000}">
      <formula1>"Yes,No,Pending"</formula1>
    </dataValidation>
    <dataValidation type="list" allowBlank="1" showErrorMessage="1" sqref="H3:H69" xr:uid="{00000000-0002-0000-0000-000006000000}">
      <formula1>"Yes,Pending,No"</formula1>
    </dataValidation>
    <dataValidation type="list" allowBlank="1" showErrorMessage="1" sqref="I3:R69" xr:uid="{00000000-0002-0000-0000-000000000000}">
      <formula1>"Not Done,0,1,2,3,4,5,6,7,8,9,10,11,12,N/A"</formula1>
    </dataValidation>
  </dataValidations>
  <pageMargins left="0.7" right="0.7" top="0.75" bottom="0.75" header="0" footer="0"/>
  <pageSetup paperSize="9" orientation="landscape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3000000}">
          <x14:formula1>
            <xm:f>'Lists (Ignore)'!#REF!</xm:f>
          </x14:formula1>
          <xm:sqref>C3:C69 AC3:AE69 AF3:AK69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L1000"/>
  <sheetViews>
    <sheetView workbookViewId="0"/>
  </sheetViews>
  <sheetFormatPr defaultColWidth="14.453125" defaultRowHeight="15" customHeight="1" x14ac:dyDescent="0.35"/>
  <cols>
    <col min="1" max="1" width="8.7265625" customWidth="1"/>
    <col min="2" max="2" width="26" customWidth="1"/>
    <col min="3" max="3" width="15.7265625" customWidth="1"/>
    <col min="4" max="4" width="12.54296875" hidden="1" customWidth="1"/>
    <col min="5" max="5" width="9.08984375" customWidth="1"/>
    <col min="6" max="26" width="8.7265625" customWidth="1"/>
  </cols>
  <sheetData>
    <row r="2" spans="1:12" ht="21" x14ac:dyDescent="0.5">
      <c r="B2" s="16" t="s">
        <v>47</v>
      </c>
      <c r="C2" s="16" t="s">
        <v>1</v>
      </c>
      <c r="D2" s="16" t="s">
        <v>143</v>
      </c>
      <c r="E2" s="16" t="s">
        <v>8</v>
      </c>
      <c r="F2" s="16" t="s">
        <v>9</v>
      </c>
      <c r="G2" s="16" t="s">
        <v>10</v>
      </c>
      <c r="H2" s="16" t="s">
        <v>11</v>
      </c>
      <c r="I2" s="16" t="s">
        <v>12</v>
      </c>
      <c r="J2" s="16" t="s">
        <v>13</v>
      </c>
      <c r="K2" s="16" t="s">
        <v>14</v>
      </c>
      <c r="L2" s="16" t="s">
        <v>15</v>
      </c>
    </row>
    <row r="3" spans="1:12" ht="14.5" x14ac:dyDescent="0.35">
      <c r="A3" s="9">
        <v>1</v>
      </c>
      <c r="B3" s="17" t="s">
        <v>144</v>
      </c>
      <c r="C3" s="9" t="s">
        <v>145</v>
      </c>
      <c r="D3" s="18" t="s">
        <v>32</v>
      </c>
      <c r="E3" s="19" t="s">
        <v>21</v>
      </c>
      <c r="F3" s="19" t="s">
        <v>21</v>
      </c>
      <c r="G3" s="19" t="s">
        <v>21</v>
      </c>
      <c r="H3" s="19" t="s">
        <v>32</v>
      </c>
      <c r="I3" s="19" t="s">
        <v>32</v>
      </c>
      <c r="J3" s="19"/>
      <c r="K3" s="19"/>
      <c r="L3" s="19"/>
    </row>
    <row r="4" spans="1:12" ht="14.5" x14ac:dyDescent="0.35">
      <c r="A4" s="9">
        <v>2</v>
      </c>
      <c r="B4" s="20" t="s">
        <v>146</v>
      </c>
      <c r="C4" s="9" t="s">
        <v>112</v>
      </c>
      <c r="D4" s="18" t="s">
        <v>32</v>
      </c>
      <c r="E4" s="18" t="s">
        <v>32</v>
      </c>
      <c r="F4" s="18" t="s">
        <v>32</v>
      </c>
      <c r="G4" s="18" t="s">
        <v>32</v>
      </c>
      <c r="H4" s="18" t="s">
        <v>21</v>
      </c>
      <c r="I4" s="18" t="s">
        <v>21</v>
      </c>
      <c r="J4" s="18"/>
      <c r="K4" s="18"/>
      <c r="L4" s="18"/>
    </row>
    <row r="5" spans="1:12" ht="14.5" x14ac:dyDescent="0.35">
      <c r="A5" s="9">
        <v>3</v>
      </c>
      <c r="B5" s="17" t="s">
        <v>147</v>
      </c>
      <c r="C5" s="9" t="s">
        <v>58</v>
      </c>
      <c r="D5" s="18" t="s">
        <v>32</v>
      </c>
      <c r="E5" s="21" t="s">
        <v>32</v>
      </c>
      <c r="F5" s="21" t="s">
        <v>32</v>
      </c>
      <c r="G5" s="21" t="s">
        <v>32</v>
      </c>
      <c r="H5" s="21" t="s">
        <v>32</v>
      </c>
      <c r="I5" s="21" t="s">
        <v>32</v>
      </c>
      <c r="J5" s="21"/>
      <c r="K5" s="21"/>
      <c r="L5" s="21"/>
    </row>
    <row r="6" spans="1:12" ht="14.5" x14ac:dyDescent="0.35">
      <c r="A6" s="9">
        <v>4</v>
      </c>
      <c r="B6" s="20" t="s">
        <v>148</v>
      </c>
      <c r="C6" s="9" t="s">
        <v>83</v>
      </c>
      <c r="D6" s="18" t="s">
        <v>21</v>
      </c>
      <c r="E6" s="18" t="s">
        <v>21</v>
      </c>
      <c r="F6" s="18" t="s">
        <v>21</v>
      </c>
      <c r="G6" s="18" t="s">
        <v>21</v>
      </c>
      <c r="H6" s="18" t="s">
        <v>21</v>
      </c>
      <c r="I6" s="18" t="s">
        <v>21</v>
      </c>
      <c r="J6" s="18"/>
      <c r="K6" s="18"/>
      <c r="L6" s="18"/>
    </row>
    <row r="7" spans="1:12" ht="14.5" x14ac:dyDescent="0.35">
      <c r="A7" s="9">
        <v>5</v>
      </c>
      <c r="B7" s="17" t="s">
        <v>149</v>
      </c>
      <c r="C7" s="9" t="s">
        <v>75</v>
      </c>
      <c r="D7" s="18" t="s">
        <v>21</v>
      </c>
      <c r="E7" s="21" t="s">
        <v>21</v>
      </c>
      <c r="F7" s="21" t="s">
        <v>21</v>
      </c>
      <c r="G7" s="21" t="s">
        <v>21</v>
      </c>
      <c r="H7" s="21" t="s">
        <v>21</v>
      </c>
      <c r="I7" s="21" t="s">
        <v>21</v>
      </c>
      <c r="J7" s="21"/>
      <c r="K7" s="21"/>
      <c r="L7" s="21"/>
    </row>
    <row r="8" spans="1:12" ht="14.5" x14ac:dyDescent="0.35">
      <c r="A8" s="9">
        <v>6</v>
      </c>
      <c r="B8" s="20" t="s">
        <v>150</v>
      </c>
      <c r="C8" s="9" t="s">
        <v>85</v>
      </c>
      <c r="D8" s="18" t="s">
        <v>32</v>
      </c>
      <c r="E8" s="18" t="s">
        <v>21</v>
      </c>
      <c r="F8" s="18" t="s">
        <v>21</v>
      </c>
      <c r="G8" s="18" t="s">
        <v>21</v>
      </c>
      <c r="H8" s="18" t="s">
        <v>21</v>
      </c>
      <c r="I8" s="18" t="s">
        <v>32</v>
      </c>
      <c r="J8" s="18"/>
      <c r="K8" s="18"/>
      <c r="L8" s="18"/>
    </row>
    <row r="9" spans="1:12" ht="14.5" x14ac:dyDescent="0.35">
      <c r="A9" s="9">
        <v>7</v>
      </c>
      <c r="B9" s="17" t="s">
        <v>151</v>
      </c>
      <c r="C9" s="9" t="s">
        <v>152</v>
      </c>
      <c r="D9" s="18" t="s">
        <v>32</v>
      </c>
      <c r="E9" s="21" t="s">
        <v>21</v>
      </c>
      <c r="F9" s="21" t="s">
        <v>21</v>
      </c>
      <c r="G9" s="21" t="s">
        <v>21</v>
      </c>
      <c r="H9" s="21" t="s">
        <v>21</v>
      </c>
      <c r="I9" s="21" t="s">
        <v>32</v>
      </c>
      <c r="J9" s="21"/>
      <c r="K9" s="21"/>
      <c r="L9" s="21"/>
    </row>
    <row r="10" spans="1:12" ht="14.5" x14ac:dyDescent="0.35">
      <c r="A10" s="9">
        <v>8</v>
      </c>
      <c r="B10" s="20" t="s">
        <v>153</v>
      </c>
      <c r="C10" s="9" t="s">
        <v>75</v>
      </c>
      <c r="D10" s="18" t="s">
        <v>32</v>
      </c>
      <c r="E10" s="18" t="s">
        <v>21</v>
      </c>
      <c r="F10" s="18" t="s">
        <v>32</v>
      </c>
      <c r="G10" s="18" t="s">
        <v>32</v>
      </c>
      <c r="H10" s="18" t="s">
        <v>21</v>
      </c>
      <c r="I10" s="18" t="s">
        <v>21</v>
      </c>
      <c r="J10" s="18"/>
      <c r="K10" s="18"/>
      <c r="L10" s="18"/>
    </row>
    <row r="11" spans="1:12" ht="14.5" x14ac:dyDescent="0.35">
      <c r="A11" s="9">
        <v>9</v>
      </c>
      <c r="B11" s="17" t="s">
        <v>154</v>
      </c>
      <c r="C11" s="9" t="s">
        <v>155</v>
      </c>
      <c r="D11" s="18" t="s">
        <v>32</v>
      </c>
      <c r="E11" s="21" t="s">
        <v>32</v>
      </c>
      <c r="F11" s="21" t="s">
        <v>32</v>
      </c>
      <c r="G11" s="21" t="s">
        <v>32</v>
      </c>
      <c r="H11" s="21" t="s">
        <v>21</v>
      </c>
      <c r="I11" s="21" t="s">
        <v>32</v>
      </c>
      <c r="J11" s="21"/>
      <c r="K11" s="21"/>
      <c r="L11" s="21"/>
    </row>
    <row r="12" spans="1:12" ht="14.5" x14ac:dyDescent="0.35">
      <c r="A12" s="9">
        <v>10</v>
      </c>
      <c r="B12" s="20" t="s">
        <v>156</v>
      </c>
      <c r="C12" s="9" t="s">
        <v>157</v>
      </c>
      <c r="D12" s="18" t="s">
        <v>32</v>
      </c>
      <c r="E12" s="18" t="s">
        <v>21</v>
      </c>
      <c r="F12" s="18" t="s">
        <v>21</v>
      </c>
      <c r="G12" s="18" t="s">
        <v>21</v>
      </c>
      <c r="H12" s="18" t="s">
        <v>21</v>
      </c>
      <c r="I12" s="18" t="s">
        <v>158</v>
      </c>
      <c r="J12" s="18"/>
      <c r="K12" s="18"/>
      <c r="L12" s="18"/>
    </row>
    <row r="13" spans="1:12" ht="14.5" x14ac:dyDescent="0.35">
      <c r="A13" s="9">
        <v>11</v>
      </c>
      <c r="B13" s="17" t="s">
        <v>159</v>
      </c>
      <c r="C13" s="9" t="s">
        <v>91</v>
      </c>
      <c r="D13" s="18" t="s">
        <v>32</v>
      </c>
      <c r="E13" s="21" t="s">
        <v>32</v>
      </c>
      <c r="F13" s="21" t="s">
        <v>32</v>
      </c>
      <c r="G13" s="21" t="s">
        <v>32</v>
      </c>
      <c r="H13" s="21" t="s">
        <v>32</v>
      </c>
      <c r="I13" s="21" t="s">
        <v>32</v>
      </c>
      <c r="J13" s="21"/>
      <c r="K13" s="21"/>
      <c r="L13" s="21"/>
    </row>
    <row r="14" spans="1:12" ht="14.5" x14ac:dyDescent="0.35">
      <c r="A14" s="9">
        <v>12</v>
      </c>
      <c r="B14" s="20" t="s">
        <v>160</v>
      </c>
      <c r="C14" s="9" t="s">
        <v>161</v>
      </c>
      <c r="D14" s="18" t="s">
        <v>32</v>
      </c>
      <c r="E14" s="18" t="s">
        <v>21</v>
      </c>
      <c r="F14" s="18" t="s">
        <v>21</v>
      </c>
      <c r="G14" s="18" t="s">
        <v>21</v>
      </c>
      <c r="H14" s="18" t="s">
        <v>21</v>
      </c>
      <c r="I14" s="18" t="s">
        <v>32</v>
      </c>
      <c r="J14" s="18"/>
      <c r="K14" s="18"/>
      <c r="L14" s="18"/>
    </row>
    <row r="15" spans="1:12" ht="14.5" x14ac:dyDescent="0.35">
      <c r="A15" s="9">
        <v>13</v>
      </c>
      <c r="B15" s="17" t="s">
        <v>162</v>
      </c>
      <c r="C15" s="9" t="s">
        <v>81</v>
      </c>
      <c r="D15" s="18" t="s">
        <v>32</v>
      </c>
      <c r="E15" s="21" t="s">
        <v>32</v>
      </c>
      <c r="F15" s="21" t="s">
        <v>32</v>
      </c>
      <c r="G15" s="21" t="s">
        <v>32</v>
      </c>
      <c r="H15" s="21" t="s">
        <v>21</v>
      </c>
      <c r="I15" s="21" t="s">
        <v>32</v>
      </c>
      <c r="J15" s="21"/>
      <c r="K15" s="21"/>
      <c r="L15" s="21"/>
    </row>
    <row r="16" spans="1:12" ht="14.5" x14ac:dyDescent="0.35">
      <c r="A16" s="9">
        <v>14</v>
      </c>
      <c r="B16" s="20" t="s">
        <v>163</v>
      </c>
      <c r="C16" s="9" t="s">
        <v>108</v>
      </c>
      <c r="D16" s="18" t="s">
        <v>32</v>
      </c>
      <c r="E16" s="18" t="s">
        <v>32</v>
      </c>
      <c r="F16" s="18" t="s">
        <v>32</v>
      </c>
      <c r="G16" s="18" t="s">
        <v>32</v>
      </c>
      <c r="H16" s="18" t="s">
        <v>32</v>
      </c>
      <c r="I16" s="18" t="s">
        <v>32</v>
      </c>
      <c r="J16" s="18"/>
      <c r="K16" s="18"/>
      <c r="L16" s="18"/>
    </row>
    <row r="17" spans="1:12" ht="14.5" x14ac:dyDescent="0.35">
      <c r="A17" s="9">
        <v>15</v>
      </c>
      <c r="B17" s="17" t="s">
        <v>164</v>
      </c>
      <c r="C17" s="9" t="s">
        <v>108</v>
      </c>
      <c r="D17" s="18" t="s">
        <v>32</v>
      </c>
      <c r="E17" s="21" t="s">
        <v>32</v>
      </c>
      <c r="F17" s="21" t="s">
        <v>32</v>
      </c>
      <c r="G17" s="21" t="s">
        <v>32</v>
      </c>
      <c r="H17" s="21" t="s">
        <v>32</v>
      </c>
      <c r="I17" s="21" t="s">
        <v>32</v>
      </c>
      <c r="J17" s="21"/>
      <c r="K17" s="21"/>
      <c r="L17" s="21"/>
    </row>
    <row r="18" spans="1:12" ht="14.5" x14ac:dyDescent="0.35">
      <c r="A18" s="9">
        <v>16</v>
      </c>
      <c r="B18" s="20" t="s">
        <v>165</v>
      </c>
      <c r="C18" s="9" t="s">
        <v>166</v>
      </c>
      <c r="D18" s="18" t="s">
        <v>32</v>
      </c>
      <c r="E18" s="18" t="s">
        <v>32</v>
      </c>
      <c r="F18" s="18" t="s">
        <v>32</v>
      </c>
      <c r="G18" s="18" t="s">
        <v>32</v>
      </c>
      <c r="H18" s="18" t="s">
        <v>32</v>
      </c>
      <c r="I18" s="18" t="s">
        <v>32</v>
      </c>
      <c r="J18" s="18"/>
      <c r="K18" s="18"/>
      <c r="L18" s="18"/>
    </row>
    <row r="19" spans="1:12" ht="14.5" x14ac:dyDescent="0.35">
      <c r="A19" s="9">
        <v>17</v>
      </c>
      <c r="B19" s="17" t="s">
        <v>167</v>
      </c>
      <c r="C19" s="9" t="s">
        <v>168</v>
      </c>
      <c r="D19" s="18" t="s">
        <v>32</v>
      </c>
      <c r="E19" s="21" t="s">
        <v>32</v>
      </c>
      <c r="F19" s="21" t="s">
        <v>32</v>
      </c>
      <c r="G19" s="21" t="s">
        <v>32</v>
      </c>
      <c r="H19" s="21" t="s">
        <v>32</v>
      </c>
      <c r="I19" s="21" t="s">
        <v>32</v>
      </c>
      <c r="J19" s="21"/>
      <c r="K19" s="21"/>
      <c r="L19" s="21"/>
    </row>
    <row r="20" spans="1:12" ht="14.5" x14ac:dyDescent="0.35">
      <c r="A20" s="9">
        <v>18</v>
      </c>
      <c r="B20" s="20" t="s">
        <v>169</v>
      </c>
      <c r="C20" s="9" t="s">
        <v>85</v>
      </c>
      <c r="D20" s="18" t="s">
        <v>32</v>
      </c>
      <c r="E20" s="18" t="s">
        <v>21</v>
      </c>
      <c r="F20" s="18" t="s">
        <v>21</v>
      </c>
      <c r="G20" s="18" t="s">
        <v>21</v>
      </c>
      <c r="H20" s="18" t="s">
        <v>21</v>
      </c>
      <c r="I20" s="18" t="s">
        <v>32</v>
      </c>
      <c r="J20" s="18"/>
      <c r="K20" s="18"/>
      <c r="L20" s="18"/>
    </row>
    <row r="21" spans="1:12" ht="15.75" customHeight="1" x14ac:dyDescent="0.35">
      <c r="A21" s="9">
        <v>19</v>
      </c>
      <c r="B21" s="17" t="s">
        <v>170</v>
      </c>
      <c r="C21" s="9" t="s">
        <v>77</v>
      </c>
      <c r="D21" s="18" t="s">
        <v>32</v>
      </c>
      <c r="E21" s="21" t="s">
        <v>21</v>
      </c>
      <c r="F21" s="21" t="s">
        <v>21</v>
      </c>
      <c r="G21" s="21" t="s">
        <v>21</v>
      </c>
      <c r="H21" s="21" t="s">
        <v>21</v>
      </c>
      <c r="I21" s="21" t="s">
        <v>32</v>
      </c>
      <c r="J21" s="21"/>
      <c r="K21" s="21"/>
      <c r="L21" s="21"/>
    </row>
    <row r="22" spans="1:12" ht="15.75" customHeight="1" x14ac:dyDescent="0.35">
      <c r="A22" s="9">
        <v>20</v>
      </c>
      <c r="B22" s="20" t="s">
        <v>171</v>
      </c>
      <c r="C22" s="9" t="s">
        <v>106</v>
      </c>
      <c r="D22" s="18" t="s">
        <v>32</v>
      </c>
      <c r="E22" s="18" t="s">
        <v>21</v>
      </c>
      <c r="F22" s="18" t="s">
        <v>32</v>
      </c>
      <c r="G22" s="18" t="s">
        <v>32</v>
      </c>
      <c r="H22" s="18" t="s">
        <v>32</v>
      </c>
      <c r="I22" s="18" t="s">
        <v>32</v>
      </c>
      <c r="J22" s="18"/>
      <c r="K22" s="18"/>
      <c r="L22" s="18"/>
    </row>
    <row r="23" spans="1:12" ht="15.75" customHeight="1" x14ac:dyDescent="0.35">
      <c r="A23" s="9">
        <v>21</v>
      </c>
      <c r="B23" s="17" t="s">
        <v>172</v>
      </c>
      <c r="C23" s="9" t="s">
        <v>106</v>
      </c>
      <c r="D23" s="18" t="s">
        <v>32</v>
      </c>
      <c r="E23" s="21" t="s">
        <v>21</v>
      </c>
      <c r="F23" s="21" t="s">
        <v>21</v>
      </c>
      <c r="G23" s="21" t="s">
        <v>32</v>
      </c>
      <c r="H23" s="21" t="s">
        <v>32</v>
      </c>
      <c r="I23" s="21" t="s">
        <v>32</v>
      </c>
      <c r="J23" s="21"/>
      <c r="K23" s="21"/>
      <c r="L23" s="21"/>
    </row>
    <row r="24" spans="1:12" ht="15.75" customHeight="1" x14ac:dyDescent="0.35">
      <c r="A24" s="9">
        <v>22</v>
      </c>
      <c r="B24" s="20" t="s">
        <v>173</v>
      </c>
      <c r="C24" s="9" t="s">
        <v>166</v>
      </c>
      <c r="D24" s="18" t="s">
        <v>32</v>
      </c>
      <c r="E24" s="18" t="s">
        <v>32</v>
      </c>
      <c r="F24" s="18" t="s">
        <v>32</v>
      </c>
      <c r="G24" s="18" t="s">
        <v>32</v>
      </c>
      <c r="H24" s="18" t="s">
        <v>32</v>
      </c>
      <c r="I24" s="18" t="s">
        <v>32</v>
      </c>
      <c r="J24" s="18"/>
      <c r="K24" s="18"/>
      <c r="L24" s="18"/>
    </row>
    <row r="25" spans="1:12" ht="15.75" customHeight="1" x14ac:dyDescent="0.35">
      <c r="A25" s="9">
        <v>23</v>
      </c>
      <c r="B25" s="17" t="s">
        <v>174</v>
      </c>
      <c r="C25" s="9" t="s">
        <v>118</v>
      </c>
      <c r="D25" s="18" t="s">
        <v>32</v>
      </c>
      <c r="E25" s="21" t="s">
        <v>21</v>
      </c>
      <c r="F25" s="21" t="s">
        <v>32</v>
      </c>
      <c r="G25" s="21" t="s">
        <v>32</v>
      </c>
      <c r="H25" s="21" t="s">
        <v>32</v>
      </c>
      <c r="I25" s="21" t="s">
        <v>32</v>
      </c>
      <c r="J25" s="21"/>
      <c r="K25" s="21"/>
      <c r="L25" s="21"/>
    </row>
    <row r="26" spans="1:12" ht="15.75" customHeight="1" x14ac:dyDescent="0.35">
      <c r="A26" s="9">
        <v>24</v>
      </c>
      <c r="B26" s="20" t="s">
        <v>175</v>
      </c>
      <c r="C26" s="9" t="s">
        <v>77</v>
      </c>
      <c r="D26" s="18" t="s">
        <v>32</v>
      </c>
      <c r="E26" s="18" t="s">
        <v>21</v>
      </c>
      <c r="F26" s="18" t="s">
        <v>21</v>
      </c>
      <c r="G26" s="18" t="s">
        <v>21</v>
      </c>
      <c r="H26" s="18" t="s">
        <v>32</v>
      </c>
      <c r="I26" s="18" t="s">
        <v>32</v>
      </c>
      <c r="J26" s="18"/>
      <c r="K26" s="18"/>
      <c r="L26" s="18"/>
    </row>
    <row r="27" spans="1:12" ht="15.75" customHeight="1" x14ac:dyDescent="0.35">
      <c r="A27" s="9">
        <v>25</v>
      </c>
      <c r="B27" s="17" t="s">
        <v>176</v>
      </c>
      <c r="C27" s="9" t="s">
        <v>152</v>
      </c>
      <c r="D27" s="18" t="s">
        <v>32</v>
      </c>
      <c r="E27" s="21" t="s">
        <v>21</v>
      </c>
      <c r="F27" s="21" t="s">
        <v>21</v>
      </c>
      <c r="G27" s="21" t="s">
        <v>21</v>
      </c>
      <c r="H27" s="21" t="s">
        <v>21</v>
      </c>
      <c r="I27" s="21" t="s">
        <v>32</v>
      </c>
      <c r="J27" s="21"/>
      <c r="K27" s="21"/>
      <c r="L27" s="21"/>
    </row>
    <row r="28" spans="1:12" ht="15.75" customHeight="1" x14ac:dyDescent="0.35">
      <c r="A28" s="9">
        <v>26</v>
      </c>
      <c r="B28" s="20" t="s">
        <v>177</v>
      </c>
      <c r="C28" s="9" t="s">
        <v>110</v>
      </c>
      <c r="D28" s="18" t="s">
        <v>32</v>
      </c>
      <c r="E28" s="18" t="s">
        <v>21</v>
      </c>
      <c r="F28" s="18" t="s">
        <v>32</v>
      </c>
      <c r="G28" s="18" t="s">
        <v>178</v>
      </c>
      <c r="H28" s="18" t="s">
        <v>32</v>
      </c>
      <c r="I28" s="18" t="s">
        <v>32</v>
      </c>
      <c r="J28" s="18"/>
      <c r="K28" s="18"/>
      <c r="L28" s="18"/>
    </row>
    <row r="29" spans="1:12" ht="15.75" customHeight="1" x14ac:dyDescent="0.35">
      <c r="A29" s="9">
        <v>27</v>
      </c>
      <c r="B29" s="22" t="s">
        <v>179</v>
      </c>
      <c r="C29" s="9" t="s">
        <v>112</v>
      </c>
      <c r="D29" s="18" t="s">
        <v>32</v>
      </c>
      <c r="E29" s="23" t="s">
        <v>32</v>
      </c>
      <c r="F29" s="23" t="s">
        <v>32</v>
      </c>
      <c r="G29" s="23" t="s">
        <v>32</v>
      </c>
      <c r="H29" s="23" t="s">
        <v>21</v>
      </c>
      <c r="I29" s="23" t="s">
        <v>21</v>
      </c>
      <c r="J29" s="23"/>
      <c r="K29" s="23"/>
      <c r="L29" s="23"/>
    </row>
    <row r="30" spans="1:12" ht="15.75" customHeight="1" x14ac:dyDescent="0.35">
      <c r="B30" s="22" t="s">
        <v>180</v>
      </c>
      <c r="C30" s="22"/>
      <c r="D30" s="23">
        <f>(COUNTIF('2025 EOM Declarations'!$D$3:$D$29,"Yes"))</f>
        <v>2</v>
      </c>
      <c r="E30" s="24">
        <f>(COUNTIF('2025 EOM Declarations'!$E$3:$E$29,"Yes")/27)</f>
        <v>0.59259259259259256</v>
      </c>
      <c r="F30" s="24">
        <f>(COUNTIF('2025 EOM Declarations'!$F$3:$F$29,"Yes")/27)</f>
        <v>0.44444444444444442</v>
      </c>
      <c r="G30" s="24">
        <f>(COUNTIF('2025 EOM Declarations'!$G$3:$G$29,"Yes")/27)</f>
        <v>0.40740740740740738</v>
      </c>
      <c r="H30" s="24">
        <f>(COUNTIF('2025 EOM Declarations'!$H$3:$H$29,"Yes")/27)</f>
        <v>0.51851851851851849</v>
      </c>
      <c r="I30" s="24">
        <f>(COUNTIF('2025 EOM Declarations'!$I$3:$I$29,"Yes")/27)</f>
        <v>0.18518518518518517</v>
      </c>
      <c r="J30" s="24">
        <f>(COUNTIF('2025 EOM Declarations'!$J$3:$J$29,"Yes")/27)</f>
        <v>0</v>
      </c>
      <c r="K30" s="24">
        <f>(COUNTIF('2025 EOM Declarations'!$K$3:$K$29,"Yes")/27)</f>
        <v>0</v>
      </c>
      <c r="L30" s="24">
        <f>(COUNTIF('2025 EOM Declarations'!$L$3:$L$29,"Yes")/27)</f>
        <v>0</v>
      </c>
    </row>
    <row r="31" spans="1:12" ht="15.75" customHeight="1" x14ac:dyDescent="0.35"/>
    <row r="32" spans="1:12" ht="15.75" customHeight="1" x14ac:dyDescent="0.35"/>
    <row r="33" spans="1:12" ht="15.75" customHeight="1" x14ac:dyDescent="0.35"/>
    <row r="34" spans="1:12" ht="15.75" customHeight="1" x14ac:dyDescent="0.5">
      <c r="B34" s="25" t="s">
        <v>181</v>
      </c>
      <c r="C34" s="25" t="s">
        <v>1</v>
      </c>
      <c r="D34" s="25" t="s">
        <v>143</v>
      </c>
      <c r="E34" s="25" t="s">
        <v>8</v>
      </c>
      <c r="F34" s="25" t="s">
        <v>9</v>
      </c>
      <c r="G34" s="25" t="s">
        <v>10</v>
      </c>
      <c r="H34" s="25" t="s">
        <v>11</v>
      </c>
      <c r="I34" s="25" t="s">
        <v>12</v>
      </c>
      <c r="J34" s="25" t="s">
        <v>13</v>
      </c>
      <c r="K34" s="25" t="s">
        <v>14</v>
      </c>
      <c r="L34" s="25" t="s">
        <v>15</v>
      </c>
    </row>
    <row r="35" spans="1:12" ht="15.75" customHeight="1" x14ac:dyDescent="0.35">
      <c r="A35" s="9">
        <v>1</v>
      </c>
      <c r="B35" s="26" t="s">
        <v>182</v>
      </c>
      <c r="C35" s="9" t="s">
        <v>183</v>
      </c>
      <c r="D35" s="18" t="s">
        <v>32</v>
      </c>
      <c r="E35" s="27" t="s">
        <v>32</v>
      </c>
      <c r="F35" s="27" t="s">
        <v>32</v>
      </c>
      <c r="G35" s="27" t="s">
        <v>32</v>
      </c>
      <c r="H35" s="27" t="s">
        <v>32</v>
      </c>
      <c r="I35" s="28" t="s">
        <v>32</v>
      </c>
      <c r="J35" s="28"/>
      <c r="K35" s="28"/>
      <c r="L35" s="28"/>
    </row>
    <row r="36" spans="1:12" ht="15.75" customHeight="1" x14ac:dyDescent="0.35">
      <c r="A36" s="9">
        <v>2</v>
      </c>
      <c r="B36" s="29" t="s">
        <v>184</v>
      </c>
      <c r="C36" s="9" t="s">
        <v>183</v>
      </c>
      <c r="D36" s="18" t="s">
        <v>32</v>
      </c>
      <c r="E36" s="30" t="s">
        <v>32</v>
      </c>
      <c r="F36" s="30" t="s">
        <v>32</v>
      </c>
      <c r="G36" s="30" t="s">
        <v>32</v>
      </c>
      <c r="H36" s="30" t="s">
        <v>32</v>
      </c>
      <c r="I36" s="30" t="s">
        <v>32</v>
      </c>
      <c r="J36" s="30"/>
      <c r="K36" s="30"/>
      <c r="L36" s="30"/>
    </row>
    <row r="37" spans="1:12" ht="15.75" customHeight="1" x14ac:dyDescent="0.35">
      <c r="A37" s="9">
        <v>3</v>
      </c>
      <c r="B37" s="26" t="s">
        <v>185</v>
      </c>
      <c r="C37" s="9" t="s">
        <v>68</v>
      </c>
      <c r="D37" s="18" t="s">
        <v>32</v>
      </c>
      <c r="E37" s="27" t="s">
        <v>21</v>
      </c>
      <c r="F37" s="27" t="s">
        <v>21</v>
      </c>
      <c r="G37" s="27" t="s">
        <v>21</v>
      </c>
      <c r="H37" s="27" t="s">
        <v>21</v>
      </c>
      <c r="I37" s="30" t="s">
        <v>32</v>
      </c>
      <c r="J37" s="30"/>
      <c r="K37" s="30"/>
      <c r="L37" s="30"/>
    </row>
    <row r="38" spans="1:12" ht="15.75" customHeight="1" x14ac:dyDescent="0.35">
      <c r="A38" s="9">
        <v>4</v>
      </c>
      <c r="B38" s="29" t="s">
        <v>186</v>
      </c>
      <c r="C38" s="9" t="s">
        <v>183</v>
      </c>
      <c r="D38" s="18" t="s">
        <v>32</v>
      </c>
      <c r="E38" s="30" t="s">
        <v>32</v>
      </c>
      <c r="F38" s="30" t="s">
        <v>32</v>
      </c>
      <c r="G38" s="30" t="s">
        <v>21</v>
      </c>
      <c r="H38" s="30" t="s">
        <v>32</v>
      </c>
      <c r="I38" s="30" t="s">
        <v>32</v>
      </c>
      <c r="J38" s="30"/>
      <c r="K38" s="30"/>
      <c r="L38" s="30"/>
    </row>
    <row r="39" spans="1:12" ht="15.75" customHeight="1" x14ac:dyDescent="0.35">
      <c r="A39" s="9">
        <v>5</v>
      </c>
      <c r="B39" s="26" t="s">
        <v>187</v>
      </c>
      <c r="C39" s="9" t="s">
        <v>188</v>
      </c>
      <c r="D39" s="18" t="s">
        <v>32</v>
      </c>
      <c r="E39" s="18" t="s">
        <v>21</v>
      </c>
      <c r="F39" s="27" t="s">
        <v>32</v>
      </c>
      <c r="G39" s="27" t="s">
        <v>21</v>
      </c>
      <c r="H39" s="27" t="s">
        <v>21</v>
      </c>
      <c r="I39" s="30" t="s">
        <v>32</v>
      </c>
      <c r="J39" s="30"/>
      <c r="K39" s="30"/>
      <c r="L39" s="30"/>
    </row>
    <row r="40" spans="1:12" ht="15.75" customHeight="1" x14ac:dyDescent="0.35">
      <c r="A40" s="9">
        <v>6</v>
      </c>
      <c r="B40" s="29" t="s">
        <v>189</v>
      </c>
      <c r="C40" s="9" t="s">
        <v>114</v>
      </c>
      <c r="D40" s="18" t="s">
        <v>32</v>
      </c>
      <c r="E40" s="30" t="s">
        <v>21</v>
      </c>
      <c r="F40" s="30" t="s">
        <v>21</v>
      </c>
      <c r="G40" s="30" t="s">
        <v>21</v>
      </c>
      <c r="H40" s="30" t="s">
        <v>21</v>
      </c>
      <c r="I40" s="30" t="s">
        <v>32</v>
      </c>
      <c r="J40" s="30"/>
      <c r="K40" s="30"/>
      <c r="L40" s="30"/>
    </row>
    <row r="41" spans="1:12" ht="15.75" customHeight="1" x14ac:dyDescent="0.35">
      <c r="A41" s="9">
        <v>7</v>
      </c>
      <c r="B41" s="26" t="s">
        <v>190</v>
      </c>
      <c r="C41" s="9" t="s">
        <v>31</v>
      </c>
      <c r="D41" s="18" t="s">
        <v>32</v>
      </c>
      <c r="E41" s="27" t="s">
        <v>21</v>
      </c>
      <c r="F41" s="27" t="s">
        <v>21</v>
      </c>
      <c r="G41" s="27" t="s">
        <v>32</v>
      </c>
      <c r="H41" s="27" t="s">
        <v>32</v>
      </c>
      <c r="I41" s="30" t="s">
        <v>32</v>
      </c>
      <c r="J41" s="30"/>
      <c r="K41" s="30"/>
      <c r="L41" s="30"/>
    </row>
    <row r="42" spans="1:12" ht="15.75" customHeight="1" x14ac:dyDescent="0.35">
      <c r="A42" s="9">
        <v>8</v>
      </c>
      <c r="B42" s="29" t="s">
        <v>191</v>
      </c>
      <c r="C42" s="9" t="s">
        <v>50</v>
      </c>
      <c r="D42" s="18" t="s">
        <v>21</v>
      </c>
      <c r="E42" s="30" t="s">
        <v>21</v>
      </c>
      <c r="F42" s="30" t="s">
        <v>21</v>
      </c>
      <c r="G42" s="30" t="s">
        <v>21</v>
      </c>
      <c r="H42" s="30" t="s">
        <v>21</v>
      </c>
      <c r="I42" s="30" t="s">
        <v>21</v>
      </c>
      <c r="J42" s="30"/>
      <c r="K42" s="30"/>
      <c r="L42" s="30"/>
    </row>
    <row r="43" spans="1:12" ht="15.75" customHeight="1" x14ac:dyDescent="0.35">
      <c r="A43" s="9">
        <v>9</v>
      </c>
      <c r="B43" s="26" t="s">
        <v>192</v>
      </c>
      <c r="C43" s="9" t="s">
        <v>68</v>
      </c>
      <c r="D43" s="18" t="s">
        <v>32</v>
      </c>
      <c r="E43" s="27" t="s">
        <v>32</v>
      </c>
      <c r="F43" s="27" t="s">
        <v>32</v>
      </c>
      <c r="G43" s="27" t="s">
        <v>32</v>
      </c>
      <c r="H43" s="27" t="s">
        <v>32</v>
      </c>
      <c r="I43" s="30" t="s">
        <v>32</v>
      </c>
      <c r="J43" s="30"/>
      <c r="K43" s="30"/>
      <c r="L43" s="30"/>
    </row>
    <row r="44" spans="1:12" ht="15.75" customHeight="1" x14ac:dyDescent="0.35">
      <c r="A44" s="9">
        <v>10</v>
      </c>
      <c r="B44" s="29" t="s">
        <v>193</v>
      </c>
      <c r="C44" s="9" t="s">
        <v>70</v>
      </c>
      <c r="D44" s="18" t="s">
        <v>21</v>
      </c>
      <c r="E44" s="30" t="s">
        <v>21</v>
      </c>
      <c r="F44" s="30" t="s">
        <v>21</v>
      </c>
      <c r="G44" s="30" t="s">
        <v>21</v>
      </c>
      <c r="H44" s="30" t="s">
        <v>21</v>
      </c>
      <c r="I44" s="30" t="s">
        <v>21</v>
      </c>
      <c r="J44" s="30"/>
      <c r="K44" s="30"/>
      <c r="L44" s="30"/>
    </row>
    <row r="45" spans="1:12" ht="15.75" customHeight="1" x14ac:dyDescent="0.35">
      <c r="A45" s="9">
        <v>11</v>
      </c>
      <c r="B45" s="26" t="s">
        <v>194</v>
      </c>
      <c r="C45" s="9" t="s">
        <v>116</v>
      </c>
      <c r="D45" s="18" t="s">
        <v>32</v>
      </c>
      <c r="E45" s="27" t="s">
        <v>21</v>
      </c>
      <c r="F45" s="30" t="s">
        <v>21</v>
      </c>
      <c r="G45" s="30" t="s">
        <v>32</v>
      </c>
      <c r="H45" s="30" t="s">
        <v>32</v>
      </c>
      <c r="I45" s="30" t="s">
        <v>32</v>
      </c>
      <c r="J45" s="30"/>
      <c r="K45" s="30"/>
      <c r="L45" s="30"/>
    </row>
    <row r="46" spans="1:12" ht="15.75" customHeight="1" x14ac:dyDescent="0.35">
      <c r="A46" s="9">
        <v>12</v>
      </c>
      <c r="B46" s="29" t="s">
        <v>195</v>
      </c>
      <c r="C46" s="9" t="s">
        <v>126</v>
      </c>
      <c r="D46" s="18" t="s">
        <v>32</v>
      </c>
      <c r="E46" s="30" t="s">
        <v>32</v>
      </c>
      <c r="F46" s="30" t="s">
        <v>21</v>
      </c>
      <c r="G46" s="30" t="s">
        <v>32</v>
      </c>
      <c r="H46" s="30" t="s">
        <v>32</v>
      </c>
      <c r="I46" s="30" t="s">
        <v>21</v>
      </c>
      <c r="J46" s="30"/>
      <c r="K46" s="30"/>
      <c r="L46" s="30"/>
    </row>
    <row r="47" spans="1:12" ht="15.75" customHeight="1" x14ac:dyDescent="0.35">
      <c r="A47" s="9">
        <v>13</v>
      </c>
      <c r="B47" s="29" t="s">
        <v>196</v>
      </c>
      <c r="C47" s="9" t="s">
        <v>135</v>
      </c>
      <c r="D47" s="18" t="s">
        <v>32</v>
      </c>
      <c r="E47" s="30" t="s">
        <v>32</v>
      </c>
      <c r="F47" s="30" t="s">
        <v>32</v>
      </c>
      <c r="G47" s="30" t="s">
        <v>32</v>
      </c>
      <c r="H47" s="30" t="s">
        <v>32</v>
      </c>
      <c r="I47" s="30" t="s">
        <v>32</v>
      </c>
      <c r="J47" s="30"/>
      <c r="K47" s="30"/>
      <c r="L47" s="30"/>
    </row>
    <row r="48" spans="1:12" ht="15.75" customHeight="1" x14ac:dyDescent="0.35">
      <c r="A48" s="9">
        <v>14</v>
      </c>
      <c r="B48" s="29" t="s">
        <v>197</v>
      </c>
      <c r="C48" s="9" t="s">
        <v>66</v>
      </c>
      <c r="D48" s="18" t="s">
        <v>32</v>
      </c>
      <c r="E48" s="30" t="s">
        <v>21</v>
      </c>
      <c r="F48" s="30" t="s">
        <v>21</v>
      </c>
      <c r="G48" s="30" t="s">
        <v>21</v>
      </c>
      <c r="H48" s="30" t="s">
        <v>32</v>
      </c>
      <c r="I48" s="30" t="s">
        <v>32</v>
      </c>
      <c r="J48" s="30"/>
      <c r="K48" s="30"/>
      <c r="L48" s="30"/>
    </row>
    <row r="49" spans="1:12" ht="15.75" customHeight="1" x14ac:dyDescent="0.35">
      <c r="A49" s="9">
        <v>15</v>
      </c>
      <c r="B49" s="26" t="s">
        <v>198</v>
      </c>
      <c r="C49" s="9" t="s">
        <v>19</v>
      </c>
      <c r="D49" s="18" t="s">
        <v>32</v>
      </c>
      <c r="E49" s="27" t="s">
        <v>21</v>
      </c>
      <c r="F49" s="30" t="s">
        <v>21</v>
      </c>
      <c r="G49" s="30" t="s">
        <v>21</v>
      </c>
      <c r="H49" s="30" t="s">
        <v>21</v>
      </c>
      <c r="I49" s="30" t="s">
        <v>32</v>
      </c>
      <c r="J49" s="30"/>
      <c r="K49" s="30"/>
      <c r="L49" s="30"/>
    </row>
    <row r="50" spans="1:12" ht="15.75" customHeight="1" x14ac:dyDescent="0.35">
      <c r="A50" s="9">
        <v>16</v>
      </c>
      <c r="B50" s="29" t="s">
        <v>199</v>
      </c>
      <c r="C50" s="9" t="s">
        <v>27</v>
      </c>
      <c r="D50" s="18" t="s">
        <v>32</v>
      </c>
      <c r="E50" s="30" t="s">
        <v>21</v>
      </c>
      <c r="F50" s="30" t="s">
        <v>21</v>
      </c>
      <c r="G50" s="30" t="s">
        <v>21</v>
      </c>
      <c r="H50" s="30" t="s">
        <v>32</v>
      </c>
      <c r="I50" s="30" t="s">
        <v>32</v>
      </c>
      <c r="J50" s="30"/>
      <c r="K50" s="30"/>
      <c r="L50" s="30"/>
    </row>
    <row r="51" spans="1:12" ht="15.75" customHeight="1" x14ac:dyDescent="0.35">
      <c r="A51" s="9">
        <v>17</v>
      </c>
      <c r="B51" s="26" t="s">
        <v>200</v>
      </c>
      <c r="C51" s="29" t="s">
        <v>19</v>
      </c>
      <c r="D51" s="18" t="s">
        <v>21</v>
      </c>
      <c r="E51" s="27" t="s">
        <v>21</v>
      </c>
      <c r="F51" s="30" t="s">
        <v>21</v>
      </c>
      <c r="G51" s="30" t="s">
        <v>21</v>
      </c>
      <c r="H51" s="30" t="s">
        <v>21</v>
      </c>
      <c r="I51" s="30" t="s">
        <v>21</v>
      </c>
      <c r="J51" s="30"/>
      <c r="K51" s="30"/>
      <c r="L51" s="30"/>
    </row>
    <row r="52" spans="1:12" ht="15.75" customHeight="1" x14ac:dyDescent="0.35">
      <c r="A52" s="9">
        <v>18</v>
      </c>
      <c r="B52" s="29" t="s">
        <v>201</v>
      </c>
      <c r="C52" s="29" t="s">
        <v>135</v>
      </c>
      <c r="D52" s="18" t="s">
        <v>32</v>
      </c>
      <c r="E52" s="30" t="s">
        <v>32</v>
      </c>
      <c r="F52" s="30" t="s">
        <v>32</v>
      </c>
      <c r="G52" s="30" t="s">
        <v>32</v>
      </c>
      <c r="H52" s="30" t="s">
        <v>32</v>
      </c>
      <c r="I52" s="30" t="s">
        <v>32</v>
      </c>
      <c r="J52" s="30"/>
      <c r="K52" s="30"/>
      <c r="L52" s="30"/>
    </row>
    <row r="53" spans="1:12" ht="15.75" customHeight="1" x14ac:dyDescent="0.35">
      <c r="A53" s="9">
        <v>19</v>
      </c>
      <c r="B53" s="26" t="s">
        <v>202</v>
      </c>
      <c r="C53" s="29" t="s">
        <v>72</v>
      </c>
      <c r="D53" s="18" t="s">
        <v>32</v>
      </c>
      <c r="E53" s="27" t="s">
        <v>21</v>
      </c>
      <c r="F53" s="30" t="s">
        <v>32</v>
      </c>
      <c r="G53" s="30" t="s">
        <v>32</v>
      </c>
      <c r="H53" s="30" t="s">
        <v>32</v>
      </c>
      <c r="I53" s="30" t="s">
        <v>32</v>
      </c>
      <c r="J53" s="30"/>
      <c r="K53" s="30"/>
      <c r="L53" s="30"/>
    </row>
    <row r="54" spans="1:12" ht="15.75" customHeight="1" x14ac:dyDescent="0.35">
      <c r="A54" s="9">
        <v>20</v>
      </c>
      <c r="B54" s="29" t="s">
        <v>203</v>
      </c>
      <c r="C54" s="29" t="s">
        <v>52</v>
      </c>
      <c r="D54" s="18" t="s">
        <v>32</v>
      </c>
      <c r="E54" s="30" t="s">
        <v>32</v>
      </c>
      <c r="F54" s="30" t="s">
        <v>32</v>
      </c>
      <c r="G54" s="30" t="s">
        <v>32</v>
      </c>
      <c r="H54" s="30" t="s">
        <v>32</v>
      </c>
      <c r="I54" s="30" t="s">
        <v>32</v>
      </c>
      <c r="J54" s="30"/>
      <c r="K54" s="30"/>
      <c r="L54" s="30"/>
    </row>
    <row r="55" spans="1:12" ht="15.75" customHeight="1" x14ac:dyDescent="0.35">
      <c r="A55" s="9">
        <v>21</v>
      </c>
      <c r="B55" s="26" t="s">
        <v>204</v>
      </c>
      <c r="C55" s="29" t="s">
        <v>52</v>
      </c>
      <c r="D55" s="18" t="s">
        <v>32</v>
      </c>
      <c r="E55" s="27" t="s">
        <v>32</v>
      </c>
      <c r="F55" s="30" t="s">
        <v>32</v>
      </c>
      <c r="G55" s="30" t="s">
        <v>32</v>
      </c>
      <c r="H55" s="30" t="s">
        <v>32</v>
      </c>
      <c r="I55" s="30" t="s">
        <v>32</v>
      </c>
      <c r="J55" s="30"/>
      <c r="K55" s="30"/>
      <c r="L55" s="30"/>
    </row>
    <row r="56" spans="1:12" ht="15.75" customHeight="1" x14ac:dyDescent="0.35">
      <c r="A56" s="9">
        <v>22</v>
      </c>
      <c r="B56" s="29" t="s">
        <v>205</v>
      </c>
      <c r="C56" s="9" t="s">
        <v>40</v>
      </c>
      <c r="D56" s="18" t="s">
        <v>32</v>
      </c>
      <c r="E56" s="30" t="s">
        <v>21</v>
      </c>
      <c r="F56" s="30" t="s">
        <v>32</v>
      </c>
      <c r="G56" s="30" t="s">
        <v>32</v>
      </c>
      <c r="H56" s="30" t="s">
        <v>32</v>
      </c>
      <c r="I56" s="30" t="s">
        <v>32</v>
      </c>
      <c r="J56" s="30"/>
      <c r="K56" s="30"/>
      <c r="L56" s="30"/>
    </row>
    <row r="57" spans="1:12" ht="15.75" customHeight="1" x14ac:dyDescent="0.35">
      <c r="A57" s="9">
        <v>23</v>
      </c>
      <c r="B57" s="29" t="s">
        <v>206</v>
      </c>
      <c r="C57" s="9" t="s">
        <v>36</v>
      </c>
      <c r="D57" s="18" t="s">
        <v>32</v>
      </c>
      <c r="E57" s="30" t="s">
        <v>21</v>
      </c>
      <c r="F57" s="30" t="s">
        <v>32</v>
      </c>
      <c r="G57" s="30" t="s">
        <v>32</v>
      </c>
      <c r="H57" s="30" t="s">
        <v>32</v>
      </c>
      <c r="I57" s="30" t="s">
        <v>32</v>
      </c>
      <c r="J57" s="30"/>
      <c r="K57" s="30"/>
      <c r="L57" s="30"/>
    </row>
    <row r="58" spans="1:12" ht="15.75" customHeight="1" x14ac:dyDescent="0.35">
      <c r="A58" s="9">
        <v>24</v>
      </c>
      <c r="B58" s="31" t="s">
        <v>207</v>
      </c>
      <c r="C58" s="9" t="s">
        <v>50</v>
      </c>
      <c r="D58" s="18" t="s">
        <v>21</v>
      </c>
      <c r="E58" s="32" t="s">
        <v>21</v>
      </c>
      <c r="F58" s="32" t="s">
        <v>21</v>
      </c>
      <c r="G58" s="32" t="s">
        <v>21</v>
      </c>
      <c r="H58" s="32" t="s">
        <v>21</v>
      </c>
      <c r="I58" s="32" t="s">
        <v>21</v>
      </c>
      <c r="J58" s="32"/>
      <c r="K58" s="32"/>
      <c r="L58" s="32"/>
    </row>
    <row r="59" spans="1:12" ht="15.75" customHeight="1" x14ac:dyDescent="0.35">
      <c r="B59" s="31" t="s">
        <v>180</v>
      </c>
      <c r="C59" s="31"/>
      <c r="D59" s="32">
        <f>(COUNTIF('2025 EOM Declarations'!$D$35:$D$58,"Yes"))</f>
        <v>4</v>
      </c>
      <c r="E59" s="33">
        <f>(COUNTIF('2025 EOM Declarations'!$E$35:$E$58,"Yes")/24)</f>
        <v>0.625</v>
      </c>
      <c r="F59" s="33">
        <f>(COUNTIF('2025 EOM Declarations'!$F$35:$F$58,"Yes")/24)</f>
        <v>0.5</v>
      </c>
      <c r="G59" s="33">
        <f>(COUNTIF('2025 EOM Declarations'!$G$35:$G$58,"Yes")/24)</f>
        <v>0.45833333333333331</v>
      </c>
      <c r="H59" s="33">
        <f>(COUNTIF('2025 EOM Declarations'!$H$35:$H$58,"Yes")/24)</f>
        <v>0.33333333333333331</v>
      </c>
      <c r="I59" s="33">
        <f>(COUNTIF('2025 EOM Declarations'!$I$35:$I$58,"Yes")/24)</f>
        <v>0.20833333333333334</v>
      </c>
      <c r="J59" s="33">
        <f>(COUNTIF('2025 EOM Declarations'!$J$35:$J$58,"Yes")/24)</f>
        <v>0</v>
      </c>
      <c r="K59" s="33">
        <f>(COUNTIF('2025 EOM Declarations'!$K$35:$K$58,"Yes")/24)</f>
        <v>0</v>
      </c>
      <c r="L59" s="33">
        <f>(COUNTIF('2025 EOM Declarations'!$L$35:$L$58,"Yes")/24)</f>
        <v>0</v>
      </c>
    </row>
    <row r="60" spans="1:12" ht="15.75" customHeight="1" x14ac:dyDescent="0.35"/>
    <row r="61" spans="1:12" ht="15.75" customHeight="1" x14ac:dyDescent="0.35"/>
    <row r="62" spans="1:12" ht="15.75" customHeight="1" x14ac:dyDescent="0.35"/>
    <row r="63" spans="1:12" ht="15.75" customHeight="1" x14ac:dyDescent="0.35"/>
    <row r="64" spans="1:12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conditionalFormatting sqref="D3:D29">
    <cfRule type="containsText" dxfId="61" priority="1" operator="containsText" text="Yes">
      <formula>NOT(ISERROR(SEARCH(("Yes"),(D3))))</formula>
    </cfRule>
    <cfRule type="containsText" dxfId="60" priority="2" operator="containsText" text="No">
      <formula>NOT(ISERROR(SEARCH(("No"),(D3))))</formula>
    </cfRule>
  </conditionalFormatting>
  <conditionalFormatting sqref="E39">
    <cfRule type="containsText" dxfId="59" priority="3" operator="containsText" text="Yes">
      <formula>NOT(ISERROR(SEARCH(("Yes"),(E39))))</formula>
    </cfRule>
    <cfRule type="containsText" dxfId="58" priority="4" operator="containsText" text="No">
      <formula>NOT(ISERROR(SEARCH(("No"),(E39))))</formula>
    </cfRule>
  </conditionalFormatting>
  <conditionalFormatting sqref="E35:H38 F39:H39 E40:H43">
    <cfRule type="containsText" dxfId="57" priority="5" operator="containsText" text="No">
      <formula>NOT(ISERROR(SEARCH(("No"),(E35))))</formula>
    </cfRule>
    <cfRule type="containsText" dxfId="56" priority="6" operator="containsText" text="Yes">
      <formula>NOT(ISERROR(SEARCH(("Yes"),(E35))))</formula>
    </cfRule>
    <cfRule type="containsText" dxfId="55" priority="7" operator="containsText" text="N/A">
      <formula>NOT(ISERROR(SEARCH(("N/A"),(E35))))</formula>
    </cfRule>
  </conditionalFormatting>
  <conditionalFormatting sqref="E3:L29 D35:D58">
    <cfRule type="containsText" dxfId="54" priority="8" operator="containsText" text="Yes">
      <formula>NOT(ISERROR(SEARCH(("Yes"),(D35))))</formula>
    </cfRule>
    <cfRule type="containsText" dxfId="53" priority="9" operator="containsText" text="No">
      <formula>NOT(ISERROR(SEARCH(("No"),(D35))))</formula>
    </cfRule>
  </conditionalFormatting>
  <conditionalFormatting sqref="I35:L43 E44:L58">
    <cfRule type="containsText" dxfId="52" priority="10" operator="containsText" text="/">
      <formula>NOT(ISERROR(SEARCH(("/"),(E44))))</formula>
    </cfRule>
    <cfRule type="cellIs" dxfId="51" priority="11" operator="equal">
      <formula>"Yes"</formula>
    </cfRule>
    <cfRule type="cellIs" dxfId="50" priority="12" operator="equal">
      <formula>"No"</formula>
    </cfRule>
  </conditionalFormatting>
  <dataValidations count="1">
    <dataValidation type="list" allowBlank="1" showErrorMessage="1" sqref="D3:D29 D35:D58" xr:uid="{00000000-0002-0000-0100-000000000000}">
      <formula1>"Yes,No"</formula1>
    </dataValidation>
  </dataValidations>
  <pageMargins left="0.7" right="0.7" top="0.75" bottom="0.75" header="0" footer="0"/>
  <pageSetup orientation="landscape"/>
  <tableParts count="2">
    <tablePart r:id="rId1"/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1000000}">
          <x14:formula1>
            <xm:f>'Lists (Ignore)'!#REF!</xm:f>
          </x14:formula1>
          <xm:sqref>E3:L29 E35:L58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Q1000"/>
  <sheetViews>
    <sheetView workbookViewId="0"/>
  </sheetViews>
  <sheetFormatPr defaultColWidth="14.453125" defaultRowHeight="15" customHeight="1" x14ac:dyDescent="0.35"/>
  <cols>
    <col min="1" max="1" width="8.7265625" customWidth="1"/>
    <col min="2" max="2" width="39.7265625" customWidth="1"/>
    <col min="3" max="6" width="15.7265625" customWidth="1"/>
    <col min="7" max="7" width="6" customWidth="1"/>
    <col min="8" max="8" width="38.81640625" customWidth="1"/>
    <col min="9" max="11" width="15.7265625" customWidth="1"/>
    <col min="12" max="12" width="8.7265625" customWidth="1"/>
    <col min="13" max="13" width="27.54296875" customWidth="1"/>
    <col min="14" max="26" width="8.7265625" customWidth="1"/>
  </cols>
  <sheetData>
    <row r="1" spans="2:17" ht="14.25" customHeight="1" x14ac:dyDescent="0.35"/>
    <row r="2" spans="2:17" ht="20.25" customHeight="1" x14ac:dyDescent="0.5">
      <c r="B2" s="34" t="s">
        <v>47</v>
      </c>
      <c r="H2" s="34" t="s">
        <v>208</v>
      </c>
    </row>
    <row r="3" spans="2:17" ht="14.25" customHeight="1" x14ac:dyDescent="0.35">
      <c r="B3" s="35" t="s">
        <v>209</v>
      </c>
      <c r="C3" s="35" t="s">
        <v>210</v>
      </c>
      <c r="D3" s="35" t="s">
        <v>211</v>
      </c>
      <c r="E3" s="36" t="s">
        <v>212</v>
      </c>
      <c r="F3" s="36" t="s">
        <v>213</v>
      </c>
      <c r="H3" s="35" t="s">
        <v>209</v>
      </c>
      <c r="I3" s="35" t="s">
        <v>210</v>
      </c>
      <c r="J3" s="35" t="s">
        <v>211</v>
      </c>
      <c r="K3" s="36" t="s">
        <v>212</v>
      </c>
      <c r="O3" s="1"/>
      <c r="Q3" s="1"/>
    </row>
    <row r="4" spans="2:17" ht="24.75" customHeight="1" x14ac:dyDescent="0.35">
      <c r="B4" s="37" t="s">
        <v>214</v>
      </c>
      <c r="C4" s="38" t="s">
        <v>215</v>
      </c>
      <c r="D4" s="38" t="s">
        <v>216</v>
      </c>
      <c r="E4" s="38" t="s">
        <v>217</v>
      </c>
      <c r="F4" s="38" t="s">
        <v>218</v>
      </c>
      <c r="G4" s="39"/>
      <c r="H4" s="37" t="s">
        <v>214</v>
      </c>
      <c r="I4" s="38"/>
      <c r="J4" s="38"/>
      <c r="K4" s="39"/>
      <c r="L4" s="39"/>
      <c r="M4" s="9">
        <v>1</v>
      </c>
      <c r="N4" s="9" t="s">
        <v>219</v>
      </c>
      <c r="P4" s="26" t="s">
        <v>30</v>
      </c>
    </row>
    <row r="5" spans="2:17" ht="24.75" customHeight="1" x14ac:dyDescent="0.35">
      <c r="B5" s="37" t="s">
        <v>220</v>
      </c>
      <c r="C5" s="38" t="s">
        <v>221</v>
      </c>
      <c r="D5" s="38" t="s">
        <v>222</v>
      </c>
      <c r="E5" s="38" t="s">
        <v>223</v>
      </c>
      <c r="F5" s="38" t="s">
        <v>224</v>
      </c>
      <c r="G5" s="39"/>
      <c r="H5" s="37" t="s">
        <v>220</v>
      </c>
      <c r="I5" s="38"/>
      <c r="J5" s="38"/>
      <c r="K5" s="39"/>
      <c r="L5" s="39"/>
      <c r="M5" s="9">
        <v>2</v>
      </c>
      <c r="N5" s="9" t="s">
        <v>225</v>
      </c>
      <c r="P5" s="29" t="s">
        <v>35</v>
      </c>
    </row>
    <row r="6" spans="2:17" ht="24.75" customHeight="1" x14ac:dyDescent="0.35">
      <c r="B6" s="37" t="s">
        <v>226</v>
      </c>
      <c r="C6" s="38" t="s">
        <v>227</v>
      </c>
      <c r="D6" s="38" t="s">
        <v>228</v>
      </c>
      <c r="E6" s="38" t="s">
        <v>229</v>
      </c>
      <c r="F6" s="38" t="s">
        <v>230</v>
      </c>
      <c r="G6" s="39"/>
      <c r="H6" s="37" t="s">
        <v>226</v>
      </c>
      <c r="I6" s="38"/>
      <c r="J6" s="38"/>
      <c r="K6" s="39"/>
      <c r="L6" s="39"/>
      <c r="M6" s="9">
        <v>3</v>
      </c>
      <c r="N6" s="9" t="s">
        <v>231</v>
      </c>
      <c r="P6" s="26" t="s">
        <v>37</v>
      </c>
    </row>
    <row r="7" spans="2:17" ht="24.75" customHeight="1" x14ac:dyDescent="0.35">
      <c r="B7" s="37" t="s">
        <v>232</v>
      </c>
      <c r="C7" s="38" t="s">
        <v>233</v>
      </c>
      <c r="D7" s="38" t="s">
        <v>234</v>
      </c>
      <c r="E7" s="38" t="s">
        <v>235</v>
      </c>
      <c r="F7" s="38" t="s">
        <v>236</v>
      </c>
      <c r="G7" s="39"/>
      <c r="H7" s="37" t="s">
        <v>232</v>
      </c>
      <c r="I7" s="38"/>
      <c r="J7" s="38"/>
      <c r="K7" s="39"/>
      <c r="L7" s="39"/>
      <c r="M7" s="9">
        <v>4</v>
      </c>
      <c r="N7" s="9" t="s">
        <v>237</v>
      </c>
      <c r="P7" s="29" t="s">
        <v>42</v>
      </c>
    </row>
    <row r="8" spans="2:17" ht="24.75" customHeight="1" x14ac:dyDescent="0.35">
      <c r="B8" s="37" t="s">
        <v>238</v>
      </c>
      <c r="C8" s="38" t="s">
        <v>239</v>
      </c>
      <c r="D8" s="38" t="s">
        <v>240</v>
      </c>
      <c r="E8" s="38" t="s">
        <v>241</v>
      </c>
      <c r="F8" s="38" t="s">
        <v>236</v>
      </c>
      <c r="G8" s="39"/>
      <c r="H8" s="37" t="s">
        <v>238</v>
      </c>
      <c r="I8" s="38"/>
      <c r="J8" s="38"/>
      <c r="K8" s="39"/>
      <c r="L8" s="39"/>
      <c r="M8" s="9">
        <v>5</v>
      </c>
      <c r="N8" s="9" t="s">
        <v>242</v>
      </c>
      <c r="P8" s="26" t="s">
        <v>43</v>
      </c>
    </row>
    <row r="9" spans="2:17" ht="24.75" customHeight="1" x14ac:dyDescent="0.35">
      <c r="B9" s="37" t="s">
        <v>243</v>
      </c>
      <c r="C9" s="38" t="s">
        <v>244</v>
      </c>
      <c r="D9" s="38" t="s">
        <v>245</v>
      </c>
      <c r="E9" s="38" t="s">
        <v>246</v>
      </c>
      <c r="F9" s="38" t="s">
        <v>236</v>
      </c>
      <c r="G9" s="39"/>
      <c r="H9" s="37" t="s">
        <v>243</v>
      </c>
      <c r="I9" s="38"/>
      <c r="J9" s="38"/>
      <c r="K9" s="39"/>
      <c r="L9" s="39"/>
      <c r="M9" s="9">
        <v>6</v>
      </c>
      <c r="N9" s="9" t="s">
        <v>247</v>
      </c>
      <c r="P9" s="29" t="s">
        <v>248</v>
      </c>
    </row>
    <row r="10" spans="2:17" ht="24.75" customHeight="1" x14ac:dyDescent="0.35">
      <c r="B10" s="39" t="s">
        <v>249</v>
      </c>
      <c r="C10" s="38" t="s">
        <v>250</v>
      </c>
      <c r="D10" s="38" t="s">
        <v>251</v>
      </c>
      <c r="E10" s="38" t="s">
        <v>252</v>
      </c>
      <c r="F10" s="38" t="s">
        <v>236</v>
      </c>
      <c r="H10" s="39" t="s">
        <v>253</v>
      </c>
      <c r="I10" s="38"/>
      <c r="J10" s="38"/>
      <c r="K10" s="39"/>
      <c r="M10" s="9">
        <v>7</v>
      </c>
      <c r="N10" s="9" t="s">
        <v>254</v>
      </c>
      <c r="P10" s="26" t="s">
        <v>56</v>
      </c>
    </row>
    <row r="11" spans="2:17" ht="24.75" customHeight="1" x14ac:dyDescent="0.35">
      <c r="B11" s="37" t="s">
        <v>255</v>
      </c>
      <c r="C11" s="38" t="s">
        <v>256</v>
      </c>
      <c r="D11" s="38" t="s">
        <v>257</v>
      </c>
      <c r="E11" s="38" t="s">
        <v>258</v>
      </c>
      <c r="F11" s="38" t="s">
        <v>236</v>
      </c>
      <c r="H11" s="37" t="s">
        <v>255</v>
      </c>
      <c r="I11" s="38"/>
      <c r="J11" s="38"/>
      <c r="K11" s="39"/>
      <c r="M11" s="9">
        <v>8</v>
      </c>
      <c r="N11" s="9" t="s">
        <v>259</v>
      </c>
      <c r="P11" s="29" t="s">
        <v>65</v>
      </c>
    </row>
    <row r="12" spans="2:17" ht="24.75" customHeight="1" x14ac:dyDescent="0.35">
      <c r="B12" s="39" t="s">
        <v>260</v>
      </c>
      <c r="C12" s="38" t="s">
        <v>261</v>
      </c>
      <c r="D12" s="38" t="s">
        <v>262</v>
      </c>
      <c r="E12" s="38" t="s">
        <v>263</v>
      </c>
      <c r="F12" s="38" t="s">
        <v>236</v>
      </c>
      <c r="H12" s="39" t="s">
        <v>264</v>
      </c>
      <c r="I12" s="38"/>
      <c r="J12" s="38"/>
      <c r="K12" s="39"/>
      <c r="M12" s="9">
        <v>9</v>
      </c>
      <c r="N12" s="9" t="s">
        <v>265</v>
      </c>
      <c r="P12" s="26" t="s">
        <v>73</v>
      </c>
    </row>
    <row r="13" spans="2:17" ht="24.75" customHeight="1" x14ac:dyDescent="0.35">
      <c r="M13" s="9">
        <v>10</v>
      </c>
      <c r="N13" s="9" t="s">
        <v>266</v>
      </c>
      <c r="P13" s="29" t="s">
        <v>89</v>
      </c>
    </row>
    <row r="14" spans="2:17" ht="21" x14ac:dyDescent="0.5">
      <c r="B14" s="34" t="s">
        <v>181</v>
      </c>
      <c r="F14" s="40"/>
      <c r="H14" s="34" t="s">
        <v>267</v>
      </c>
      <c r="M14" s="9">
        <v>11</v>
      </c>
      <c r="N14" s="9" t="s">
        <v>268</v>
      </c>
      <c r="P14" s="26" t="s">
        <v>269</v>
      </c>
    </row>
    <row r="15" spans="2:17" ht="14.5" x14ac:dyDescent="0.35">
      <c r="B15" s="35" t="s">
        <v>209</v>
      </c>
      <c r="C15" s="35" t="s">
        <v>210</v>
      </c>
      <c r="D15" s="35" t="s">
        <v>211</v>
      </c>
      <c r="E15" s="36" t="s">
        <v>212</v>
      </c>
      <c r="F15" s="41" t="s">
        <v>213</v>
      </c>
      <c r="H15" s="35" t="s">
        <v>209</v>
      </c>
      <c r="I15" s="35" t="s">
        <v>210</v>
      </c>
      <c r="J15" s="35" t="s">
        <v>211</v>
      </c>
      <c r="K15" s="36" t="s">
        <v>212</v>
      </c>
      <c r="M15" s="9">
        <v>12</v>
      </c>
      <c r="N15" s="9" t="s">
        <v>270</v>
      </c>
      <c r="P15" s="29" t="s">
        <v>98</v>
      </c>
    </row>
    <row r="16" spans="2:17" ht="24.75" customHeight="1" x14ac:dyDescent="0.35">
      <c r="B16" s="37" t="s">
        <v>214</v>
      </c>
      <c r="C16" s="38" t="s">
        <v>271</v>
      </c>
      <c r="D16" s="38" t="s">
        <v>272</v>
      </c>
      <c r="E16" s="42" t="s">
        <v>219</v>
      </c>
      <c r="F16" s="42" t="s">
        <v>265</v>
      </c>
      <c r="H16" s="37" t="s">
        <v>214</v>
      </c>
      <c r="I16" s="38"/>
      <c r="J16" s="42"/>
      <c r="K16" s="43"/>
      <c r="M16" s="9">
        <v>13</v>
      </c>
      <c r="N16" s="9" t="s">
        <v>273</v>
      </c>
      <c r="P16" s="26" t="s">
        <v>102</v>
      </c>
    </row>
    <row r="17" spans="2:16" ht="24.75" customHeight="1" x14ac:dyDescent="0.35">
      <c r="B17" s="37" t="s">
        <v>220</v>
      </c>
      <c r="C17" s="38" t="s">
        <v>274</v>
      </c>
      <c r="D17" s="38" t="s">
        <v>275</v>
      </c>
      <c r="E17" s="42" t="s">
        <v>225</v>
      </c>
      <c r="F17" s="42" t="s">
        <v>276</v>
      </c>
      <c r="H17" s="37" t="s">
        <v>220</v>
      </c>
      <c r="I17" s="38"/>
      <c r="J17" s="42"/>
      <c r="K17" s="43"/>
      <c r="M17" s="9">
        <v>14</v>
      </c>
      <c r="N17" s="9" t="s">
        <v>277</v>
      </c>
      <c r="P17" s="29" t="s">
        <v>115</v>
      </c>
    </row>
    <row r="18" spans="2:16" ht="24.75" customHeight="1" x14ac:dyDescent="0.35">
      <c r="B18" s="37" t="s">
        <v>226</v>
      </c>
      <c r="C18" s="38" t="s">
        <v>278</v>
      </c>
      <c r="D18" s="38" t="s">
        <v>279</v>
      </c>
      <c r="E18" s="42" t="s">
        <v>280</v>
      </c>
      <c r="F18" s="42" t="s">
        <v>266</v>
      </c>
      <c r="H18" s="37" t="s">
        <v>226</v>
      </c>
      <c r="I18" s="38"/>
      <c r="J18" s="42"/>
      <c r="K18" s="43"/>
      <c r="M18" s="9">
        <v>15</v>
      </c>
      <c r="N18" s="9" t="s">
        <v>281</v>
      </c>
      <c r="P18" s="26" t="s">
        <v>127</v>
      </c>
    </row>
    <row r="19" spans="2:16" ht="24.75" customHeight="1" x14ac:dyDescent="0.35">
      <c r="B19" s="37" t="s">
        <v>232</v>
      </c>
      <c r="C19" s="38" t="s">
        <v>282</v>
      </c>
      <c r="D19" s="38" t="s">
        <v>283</v>
      </c>
      <c r="E19" s="42" t="s">
        <v>284</v>
      </c>
      <c r="F19" s="42" t="s">
        <v>268</v>
      </c>
      <c r="H19" s="37" t="s">
        <v>232</v>
      </c>
      <c r="I19" s="38"/>
      <c r="J19" s="42"/>
      <c r="K19" s="43"/>
      <c r="M19" s="9">
        <v>16</v>
      </c>
      <c r="N19" s="9" t="s">
        <v>285</v>
      </c>
      <c r="P19" s="29" t="s">
        <v>130</v>
      </c>
    </row>
    <row r="20" spans="2:16" ht="24.75" customHeight="1" x14ac:dyDescent="0.35">
      <c r="B20" s="37" t="s">
        <v>238</v>
      </c>
      <c r="C20" s="38" t="s">
        <v>286</v>
      </c>
      <c r="D20" s="38" t="s">
        <v>287</v>
      </c>
      <c r="E20" s="42" t="s">
        <v>237</v>
      </c>
      <c r="F20" s="42" t="s">
        <v>288</v>
      </c>
      <c r="H20" s="37" t="s">
        <v>238</v>
      </c>
      <c r="I20" s="38"/>
      <c r="J20" s="42"/>
      <c r="K20" s="43"/>
      <c r="M20" s="9">
        <v>17</v>
      </c>
      <c r="N20" s="9" t="s">
        <v>289</v>
      </c>
      <c r="P20" s="26" t="s">
        <v>134</v>
      </c>
    </row>
    <row r="21" spans="2:16" ht="24.75" customHeight="1" x14ac:dyDescent="0.35">
      <c r="B21" s="37" t="s">
        <v>243</v>
      </c>
      <c r="C21" s="38" t="s">
        <v>290</v>
      </c>
      <c r="D21" s="38" t="s">
        <v>291</v>
      </c>
      <c r="E21" s="42" t="s">
        <v>242</v>
      </c>
      <c r="F21" s="42" t="s">
        <v>292</v>
      </c>
      <c r="H21" s="37" t="s">
        <v>243</v>
      </c>
      <c r="I21" s="38"/>
      <c r="J21" s="42"/>
      <c r="K21" s="43"/>
    </row>
    <row r="22" spans="2:16" ht="24.75" customHeight="1" x14ac:dyDescent="0.35">
      <c r="B22" s="39" t="s">
        <v>293</v>
      </c>
      <c r="C22" s="38" t="s">
        <v>294</v>
      </c>
      <c r="D22" s="42" t="s">
        <v>295</v>
      </c>
      <c r="E22" s="42" t="s">
        <v>247</v>
      </c>
      <c r="F22" s="42" t="s">
        <v>277</v>
      </c>
      <c r="H22" s="39" t="s">
        <v>296</v>
      </c>
      <c r="I22" s="38"/>
      <c r="J22" s="42"/>
      <c r="K22" s="43"/>
    </row>
    <row r="23" spans="2:16" ht="24.75" customHeight="1" x14ac:dyDescent="0.35">
      <c r="B23" s="37" t="s">
        <v>255</v>
      </c>
      <c r="C23" s="38" t="s">
        <v>297</v>
      </c>
      <c r="D23" s="42" t="s">
        <v>298</v>
      </c>
      <c r="E23" s="42" t="s">
        <v>254</v>
      </c>
      <c r="F23" s="42" t="s">
        <v>299</v>
      </c>
      <c r="H23" s="37" t="s">
        <v>255</v>
      </c>
      <c r="I23" s="38"/>
      <c r="J23" s="42"/>
      <c r="K23" s="43"/>
    </row>
    <row r="24" spans="2:16" ht="24.75" customHeight="1" x14ac:dyDescent="0.35">
      <c r="B24" s="39" t="s">
        <v>300</v>
      </c>
      <c r="C24" s="38" t="s">
        <v>301</v>
      </c>
      <c r="D24" s="42" t="s">
        <v>285</v>
      </c>
      <c r="E24" s="42" t="s">
        <v>259</v>
      </c>
      <c r="F24" s="42" t="s">
        <v>302</v>
      </c>
      <c r="H24" s="39" t="s">
        <v>303</v>
      </c>
      <c r="I24" s="38"/>
      <c r="J24" s="42"/>
      <c r="K24" s="43"/>
    </row>
    <row r="25" spans="2:16" ht="24.75" customHeight="1" x14ac:dyDescent="0.35">
      <c r="B25" s="39"/>
      <c r="C25" s="38"/>
      <c r="E25" s="43"/>
      <c r="F25" s="43"/>
      <c r="H25" s="39"/>
      <c r="I25" s="38"/>
      <c r="J25" s="42"/>
      <c r="K25" s="43"/>
    </row>
    <row r="26" spans="2:16" ht="24.75" customHeight="1" x14ac:dyDescent="0.5">
      <c r="B26" s="34" t="s">
        <v>304</v>
      </c>
      <c r="H26" s="34" t="s">
        <v>305</v>
      </c>
    </row>
    <row r="27" spans="2:16" ht="24.75" customHeight="1" x14ac:dyDescent="0.35">
      <c r="B27" s="35" t="s">
        <v>209</v>
      </c>
      <c r="C27" s="35" t="s">
        <v>210</v>
      </c>
      <c r="D27" s="35" t="s">
        <v>211</v>
      </c>
      <c r="E27" s="36" t="s">
        <v>212</v>
      </c>
      <c r="F27" s="40"/>
      <c r="H27" s="35" t="s">
        <v>209</v>
      </c>
      <c r="I27" s="35" t="s">
        <v>210</v>
      </c>
      <c r="J27" s="35" t="s">
        <v>211</v>
      </c>
      <c r="K27" s="36" t="s">
        <v>212</v>
      </c>
    </row>
    <row r="28" spans="2:16" ht="15.75" customHeight="1" x14ac:dyDescent="0.35">
      <c r="B28" s="37" t="s">
        <v>214</v>
      </c>
      <c r="C28" s="38"/>
      <c r="D28" s="42"/>
      <c r="E28" s="43"/>
      <c r="F28" s="43"/>
      <c r="H28" s="37" t="s">
        <v>214</v>
      </c>
      <c r="I28" s="38"/>
      <c r="J28" s="42"/>
      <c r="K28" s="43"/>
    </row>
    <row r="29" spans="2:16" ht="15.75" customHeight="1" x14ac:dyDescent="0.35">
      <c r="B29" s="37" t="s">
        <v>220</v>
      </c>
      <c r="C29" s="38"/>
      <c r="D29" s="38"/>
      <c r="E29" s="43"/>
      <c r="F29" s="43"/>
      <c r="H29" s="37" t="s">
        <v>220</v>
      </c>
      <c r="I29" s="38"/>
      <c r="J29" s="38"/>
      <c r="K29" s="43"/>
    </row>
    <row r="30" spans="2:16" ht="24.75" customHeight="1" x14ac:dyDescent="0.35">
      <c r="B30" s="37" t="s">
        <v>226</v>
      </c>
      <c r="C30" s="38"/>
      <c r="D30" s="42"/>
      <c r="E30" s="43"/>
      <c r="F30" s="43"/>
      <c r="H30" s="37" t="s">
        <v>226</v>
      </c>
      <c r="I30" s="38"/>
      <c r="J30" s="42"/>
      <c r="K30" s="43"/>
    </row>
    <row r="31" spans="2:16" ht="24.75" customHeight="1" x14ac:dyDescent="0.35">
      <c r="B31" s="37" t="s">
        <v>232</v>
      </c>
      <c r="C31" s="38"/>
      <c r="D31" s="42"/>
      <c r="E31" s="43"/>
      <c r="F31" s="43"/>
      <c r="H31" s="37" t="s">
        <v>232</v>
      </c>
      <c r="I31" s="38"/>
      <c r="J31" s="42"/>
      <c r="K31" s="43"/>
    </row>
    <row r="32" spans="2:16" ht="24.75" customHeight="1" x14ac:dyDescent="0.35">
      <c r="B32" s="37" t="s">
        <v>238</v>
      </c>
      <c r="C32" s="38"/>
      <c r="D32" s="42"/>
      <c r="E32" s="43"/>
      <c r="F32" s="43"/>
      <c r="H32" s="37" t="s">
        <v>238</v>
      </c>
      <c r="I32" s="38"/>
      <c r="J32" s="42"/>
      <c r="K32" s="43"/>
    </row>
    <row r="33" spans="2:13" ht="24.75" customHeight="1" x14ac:dyDescent="0.35">
      <c r="B33" s="37" t="s">
        <v>243</v>
      </c>
      <c r="C33" s="38"/>
      <c r="D33" s="42"/>
      <c r="E33" s="43"/>
      <c r="F33" s="43"/>
      <c r="H33" s="37" t="s">
        <v>243</v>
      </c>
      <c r="I33" s="38"/>
      <c r="J33" s="42"/>
      <c r="K33" s="43"/>
    </row>
    <row r="34" spans="2:13" ht="24.75" customHeight="1" x14ac:dyDescent="0.35">
      <c r="B34" s="39" t="s">
        <v>306</v>
      </c>
      <c r="C34" s="38"/>
      <c r="D34" s="42"/>
      <c r="E34" s="43"/>
      <c r="F34" s="43"/>
      <c r="H34" s="39" t="s">
        <v>307</v>
      </c>
      <c r="I34" s="38"/>
      <c r="J34" s="42"/>
      <c r="K34" s="43"/>
    </row>
    <row r="35" spans="2:13" ht="24.75" customHeight="1" x14ac:dyDescent="0.35">
      <c r="B35" s="37" t="s">
        <v>255</v>
      </c>
      <c r="C35" s="38"/>
      <c r="D35" s="42"/>
      <c r="E35" s="43"/>
      <c r="F35" s="43"/>
      <c r="H35" s="37" t="s">
        <v>255</v>
      </c>
      <c r="I35" s="38"/>
      <c r="J35" s="42"/>
      <c r="K35" s="43"/>
    </row>
    <row r="36" spans="2:13" ht="24.75" customHeight="1" x14ac:dyDescent="0.35">
      <c r="B36" s="39" t="s">
        <v>308</v>
      </c>
      <c r="C36" s="38"/>
      <c r="D36" s="42"/>
      <c r="E36" s="43"/>
      <c r="F36" s="43"/>
      <c r="H36" s="39" t="s">
        <v>309</v>
      </c>
      <c r="I36" s="38"/>
      <c r="J36" s="42"/>
      <c r="K36" s="43"/>
    </row>
    <row r="37" spans="2:13" ht="24.75" customHeight="1" x14ac:dyDescent="0.35">
      <c r="B37" s="39"/>
      <c r="C37" s="38"/>
      <c r="D37" s="42"/>
      <c r="E37" s="43"/>
      <c r="F37" s="43"/>
    </row>
    <row r="38" spans="2:13" ht="24.75" customHeight="1" x14ac:dyDescent="0.35">
      <c r="B38" s="1"/>
      <c r="D38" s="1"/>
    </row>
    <row r="39" spans="2:13" ht="24.75" customHeight="1" x14ac:dyDescent="0.35">
      <c r="B39" s="44" t="s">
        <v>310</v>
      </c>
      <c r="C39" s="45" t="s">
        <v>311</v>
      </c>
      <c r="D39" s="44" t="s">
        <v>312</v>
      </c>
      <c r="E39" s="45" t="s">
        <v>313</v>
      </c>
      <c r="F39" s="45"/>
      <c r="H39" s="39"/>
      <c r="I39" s="38"/>
      <c r="J39" s="42"/>
      <c r="K39" s="43"/>
    </row>
    <row r="40" spans="2:13" ht="24.75" customHeight="1" x14ac:dyDescent="0.35">
      <c r="B40" s="44" t="s">
        <v>314</v>
      </c>
      <c r="C40" s="45" t="s">
        <v>315</v>
      </c>
      <c r="D40" s="44" t="s">
        <v>316</v>
      </c>
      <c r="E40" s="45" t="s">
        <v>317</v>
      </c>
      <c r="F40" s="45"/>
      <c r="G40" s="44" t="s">
        <v>318</v>
      </c>
      <c r="H40" s="1"/>
      <c r="J40" s="1"/>
    </row>
    <row r="41" spans="2:13" ht="15.75" customHeight="1" x14ac:dyDescent="0.35">
      <c r="B41" s="44" t="s">
        <v>319</v>
      </c>
      <c r="C41" s="45" t="s">
        <v>320</v>
      </c>
      <c r="D41" s="44" t="s">
        <v>321</v>
      </c>
      <c r="E41" s="45" t="s">
        <v>322</v>
      </c>
      <c r="F41" s="45"/>
      <c r="G41" s="44" t="s">
        <v>323</v>
      </c>
      <c r="I41" s="46" t="s">
        <v>324</v>
      </c>
      <c r="K41" s="46" t="s">
        <v>325</v>
      </c>
    </row>
    <row r="42" spans="2:13" ht="15.75" customHeight="1" x14ac:dyDescent="0.35">
      <c r="B42" s="44" t="s">
        <v>326</v>
      </c>
      <c r="C42" s="45" t="s">
        <v>327</v>
      </c>
      <c r="D42" s="44" t="s">
        <v>328</v>
      </c>
      <c r="E42" s="45" t="s">
        <v>329</v>
      </c>
      <c r="F42" s="45"/>
      <c r="G42" s="44" t="s">
        <v>330</v>
      </c>
      <c r="I42" s="46" t="s">
        <v>331</v>
      </c>
      <c r="K42" s="46" t="s">
        <v>332</v>
      </c>
      <c r="M42" s="46" t="s">
        <v>333</v>
      </c>
    </row>
    <row r="43" spans="2:13" ht="15.75" customHeight="1" x14ac:dyDescent="0.35">
      <c r="B43" s="44" t="s">
        <v>334</v>
      </c>
      <c r="C43" s="45" t="s">
        <v>335</v>
      </c>
      <c r="D43" s="44" t="s">
        <v>336</v>
      </c>
      <c r="E43" s="45" t="s">
        <v>337</v>
      </c>
      <c r="F43" s="45"/>
      <c r="G43" s="44" t="s">
        <v>338</v>
      </c>
      <c r="I43" s="46" t="s">
        <v>339</v>
      </c>
      <c r="K43" s="46" t="s">
        <v>340</v>
      </c>
      <c r="M43" s="46" t="s">
        <v>341</v>
      </c>
    </row>
    <row r="44" spans="2:13" ht="15.75" customHeight="1" x14ac:dyDescent="0.35">
      <c r="C44" s="47"/>
      <c r="I44" s="46" t="s">
        <v>342</v>
      </c>
      <c r="K44" s="46" t="s">
        <v>343</v>
      </c>
      <c r="M44" s="46" t="s">
        <v>344</v>
      </c>
    </row>
    <row r="45" spans="2:13" ht="15.75" customHeight="1" x14ac:dyDescent="0.35">
      <c r="B45" s="45" t="s">
        <v>345</v>
      </c>
      <c r="C45" s="47"/>
      <c r="D45" s="47"/>
      <c r="E45" s="47"/>
      <c r="F45" s="47"/>
      <c r="I45" s="46" t="s">
        <v>346</v>
      </c>
      <c r="K45" s="46" t="s">
        <v>347</v>
      </c>
      <c r="M45" s="46" t="s">
        <v>348</v>
      </c>
    </row>
    <row r="46" spans="2:13" ht="15.75" customHeight="1" x14ac:dyDescent="0.35">
      <c r="B46" s="45" t="s">
        <v>349</v>
      </c>
      <c r="C46" s="47"/>
      <c r="D46" s="47"/>
      <c r="E46" s="47"/>
      <c r="F46" s="47"/>
      <c r="I46" s="46" t="s">
        <v>350</v>
      </c>
      <c r="M46" s="46" t="s">
        <v>351</v>
      </c>
    </row>
    <row r="47" spans="2:13" ht="15.75" customHeight="1" x14ac:dyDescent="0.35">
      <c r="B47" s="45" t="s">
        <v>352</v>
      </c>
      <c r="C47" s="47"/>
      <c r="D47" s="47"/>
      <c r="E47" s="47"/>
      <c r="F47" s="47"/>
      <c r="G47" s="47"/>
      <c r="M47" s="48" t="s">
        <v>353</v>
      </c>
    </row>
    <row r="48" spans="2:13" ht="15.75" customHeight="1" x14ac:dyDescent="0.35">
      <c r="B48" s="45" t="s">
        <v>354</v>
      </c>
      <c r="C48" s="47"/>
      <c r="D48" s="47"/>
      <c r="E48" s="47"/>
      <c r="F48" s="47"/>
      <c r="G48" s="47"/>
      <c r="M48" s="48" t="s">
        <v>355</v>
      </c>
    </row>
    <row r="49" spans="2:13" ht="15.75" customHeight="1" x14ac:dyDescent="0.35">
      <c r="B49" s="45" t="s">
        <v>356</v>
      </c>
      <c r="C49" s="47"/>
      <c r="D49" s="47"/>
      <c r="E49" s="47"/>
      <c r="F49" s="47"/>
      <c r="M49" s="48" t="s">
        <v>357</v>
      </c>
    </row>
    <row r="50" spans="2:13" ht="15.75" customHeight="1" x14ac:dyDescent="0.35">
      <c r="G50" s="47"/>
      <c r="M50" s="48" t="s">
        <v>358</v>
      </c>
    </row>
    <row r="51" spans="2:13" ht="15.75" customHeight="1" x14ac:dyDescent="0.35">
      <c r="G51" s="47"/>
      <c r="M51" s="48" t="s">
        <v>359</v>
      </c>
    </row>
    <row r="52" spans="2:13" ht="15.75" customHeight="1" x14ac:dyDescent="0.35">
      <c r="B52" s="44" t="s">
        <v>360</v>
      </c>
      <c r="C52" s="47"/>
      <c r="D52" s="45" t="s">
        <v>361</v>
      </c>
      <c r="G52" s="47"/>
      <c r="M52" s="46" t="s">
        <v>362</v>
      </c>
    </row>
    <row r="53" spans="2:13" ht="15.75" customHeight="1" x14ac:dyDescent="0.35">
      <c r="B53" s="44" t="s">
        <v>363</v>
      </c>
      <c r="C53" s="47"/>
      <c r="D53" s="45" t="s">
        <v>364</v>
      </c>
      <c r="M53" s="46" t="s">
        <v>365</v>
      </c>
    </row>
    <row r="54" spans="2:13" ht="15.75" customHeight="1" x14ac:dyDescent="0.35">
      <c r="B54" s="44" t="s">
        <v>366</v>
      </c>
      <c r="C54" s="47"/>
      <c r="D54" s="45" t="s">
        <v>367</v>
      </c>
      <c r="M54" s="46" t="s">
        <v>368</v>
      </c>
    </row>
    <row r="55" spans="2:13" ht="15.75" customHeight="1" x14ac:dyDescent="0.35">
      <c r="B55" s="44" t="s">
        <v>369</v>
      </c>
      <c r="C55" s="47"/>
      <c r="D55" s="45" t="s">
        <v>370</v>
      </c>
      <c r="M55" s="46" t="s">
        <v>371</v>
      </c>
    </row>
    <row r="56" spans="2:13" ht="15.75" customHeight="1" x14ac:dyDescent="0.35">
      <c r="B56" s="47"/>
      <c r="C56" s="47"/>
      <c r="D56" s="47"/>
      <c r="E56" s="47"/>
      <c r="F56" s="47"/>
      <c r="M56" s="46" t="s">
        <v>372</v>
      </c>
    </row>
    <row r="57" spans="2:13" ht="15.75" customHeight="1" x14ac:dyDescent="0.35">
      <c r="M57" s="46" t="s">
        <v>373</v>
      </c>
    </row>
    <row r="58" spans="2:13" ht="15.75" customHeight="1" x14ac:dyDescent="0.35"/>
    <row r="59" spans="2:13" ht="15.75" customHeight="1" x14ac:dyDescent="0.35"/>
    <row r="60" spans="2:13" ht="15.75" customHeight="1" x14ac:dyDescent="0.35"/>
    <row r="61" spans="2:13" ht="15.75" customHeight="1" x14ac:dyDescent="0.35"/>
    <row r="62" spans="2:13" ht="15.75" customHeight="1" x14ac:dyDescent="0.35"/>
    <row r="63" spans="2:13" ht="15.75" customHeight="1" x14ac:dyDescent="0.35"/>
    <row r="64" spans="2:13" ht="15.75" customHeight="1" x14ac:dyDescent="0.35"/>
    <row r="65" spans="2:4" ht="15.75" customHeight="1" x14ac:dyDescent="0.35">
      <c r="B65" s="9">
        <v>2860.96</v>
      </c>
      <c r="C65" s="9">
        <f>B65*1.15</f>
        <v>3290.1039999999998</v>
      </c>
      <c r="D65" s="9">
        <f>C65*1.0325</f>
        <v>3397.0323799999996</v>
      </c>
    </row>
    <row r="66" spans="2:4" ht="15.75" customHeight="1" x14ac:dyDescent="0.35">
      <c r="B66" s="9">
        <v>2860.96</v>
      </c>
      <c r="C66" s="9">
        <f>B66*1.0325</f>
        <v>2953.9411999999998</v>
      </c>
      <c r="D66" s="9">
        <f>C66*1.15</f>
        <v>3397.0323799999996</v>
      </c>
    </row>
    <row r="67" spans="2:4" ht="15.75" customHeight="1" x14ac:dyDescent="0.35">
      <c r="C67" s="9">
        <f>3.25+15</f>
        <v>18.25</v>
      </c>
      <c r="D67" s="9">
        <f>B66*1.1825</f>
        <v>3383.0852000000004</v>
      </c>
    </row>
    <row r="68" spans="2:4" ht="15.75" customHeight="1" x14ac:dyDescent="0.35"/>
    <row r="69" spans="2:4" ht="15.75" customHeight="1" x14ac:dyDescent="0.35">
      <c r="B69" s="9">
        <v>2070.96</v>
      </c>
      <c r="C69" s="9">
        <f>B69*1.0325</f>
        <v>2138.2662</v>
      </c>
      <c r="D69" s="9">
        <f>C69*1.15</f>
        <v>2459.0061299999998</v>
      </c>
    </row>
    <row r="70" spans="2:4" ht="15.75" customHeight="1" x14ac:dyDescent="0.35"/>
    <row r="71" spans="2:4" ht="15.75" customHeight="1" x14ac:dyDescent="0.35">
      <c r="D71" s="9">
        <f>1400*1.15</f>
        <v>1609.9999999999998</v>
      </c>
    </row>
    <row r="72" spans="2:4" ht="15.75" customHeight="1" x14ac:dyDescent="0.35"/>
    <row r="73" spans="2:4" ht="15.75" customHeight="1" x14ac:dyDescent="0.35"/>
    <row r="74" spans="2:4" ht="15.75" customHeight="1" x14ac:dyDescent="0.35"/>
    <row r="75" spans="2:4" ht="15.75" customHeight="1" x14ac:dyDescent="0.35"/>
    <row r="76" spans="2:4" ht="15.75" customHeight="1" x14ac:dyDescent="0.35"/>
    <row r="77" spans="2:4" ht="15.75" customHeight="1" x14ac:dyDescent="0.35"/>
    <row r="78" spans="2:4" ht="15.75" customHeight="1" x14ac:dyDescent="0.35"/>
    <row r="79" spans="2:4" ht="15.75" customHeight="1" x14ac:dyDescent="0.35"/>
    <row r="80" spans="2:4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paperSize="9" orientation="portrait"/>
  <legacyDrawing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N1000"/>
  <sheetViews>
    <sheetView workbookViewId="0"/>
  </sheetViews>
  <sheetFormatPr defaultColWidth="14.453125" defaultRowHeight="15" customHeight="1" x14ac:dyDescent="0.35"/>
  <cols>
    <col min="1" max="1" width="8.7265625" customWidth="1"/>
    <col min="2" max="2" width="39.7265625" customWidth="1"/>
    <col min="3" max="3" width="15.7265625" customWidth="1"/>
    <col min="4" max="4" width="39.81640625" customWidth="1"/>
    <col min="5" max="5" width="8.7265625" customWidth="1"/>
    <col min="6" max="6" width="38.81640625" customWidth="1"/>
    <col min="7" max="7" width="15.7265625" customWidth="1"/>
    <col min="8" max="8" width="41.7265625" customWidth="1"/>
    <col min="9" max="9" width="8.7265625" customWidth="1"/>
    <col min="10" max="10" width="27.54296875" customWidth="1"/>
    <col min="11" max="26" width="8.7265625" customWidth="1"/>
  </cols>
  <sheetData>
    <row r="1" spans="2:14" ht="14.25" customHeight="1" x14ac:dyDescent="0.35"/>
    <row r="2" spans="2:14" ht="20.25" customHeight="1" x14ac:dyDescent="0.5">
      <c r="B2" s="34" t="s">
        <v>47</v>
      </c>
      <c r="F2" s="34" t="s">
        <v>208</v>
      </c>
    </row>
    <row r="3" spans="2:14" ht="14.25" customHeight="1" x14ac:dyDescent="0.35">
      <c r="B3" s="35" t="s">
        <v>374</v>
      </c>
      <c r="C3" s="35" t="s">
        <v>375</v>
      </c>
      <c r="D3" s="49" t="s">
        <v>376</v>
      </c>
      <c r="F3" s="35" t="s">
        <v>374</v>
      </c>
      <c r="G3" s="35" t="s">
        <v>375</v>
      </c>
      <c r="H3" s="49" t="s">
        <v>377</v>
      </c>
      <c r="J3" s="1" t="s">
        <v>208</v>
      </c>
      <c r="L3" s="1" t="s">
        <v>208</v>
      </c>
    </row>
    <row r="4" spans="2:14" ht="45" customHeight="1" x14ac:dyDescent="0.35">
      <c r="B4" s="39" t="s">
        <v>378</v>
      </c>
      <c r="C4" s="38" t="s">
        <v>379</v>
      </c>
      <c r="D4" s="39" t="s">
        <v>380</v>
      </c>
      <c r="F4" s="39" t="s">
        <v>381</v>
      </c>
      <c r="G4" s="38" t="s">
        <v>379</v>
      </c>
      <c r="H4" s="38" t="s">
        <v>382</v>
      </c>
      <c r="J4" s="9" t="s">
        <v>383</v>
      </c>
      <c r="L4" s="9" t="s">
        <v>331</v>
      </c>
    </row>
    <row r="5" spans="2:14" ht="51" customHeight="1" x14ac:dyDescent="0.35">
      <c r="B5" s="39" t="s">
        <v>384</v>
      </c>
      <c r="C5" s="38" t="s">
        <v>379</v>
      </c>
      <c r="D5" s="39" t="s">
        <v>385</v>
      </c>
      <c r="F5" s="39" t="s">
        <v>386</v>
      </c>
      <c r="G5" s="38" t="s">
        <v>379</v>
      </c>
      <c r="H5" s="38" t="s">
        <v>387</v>
      </c>
      <c r="J5" s="9" t="s">
        <v>344</v>
      </c>
      <c r="L5" s="9" t="s">
        <v>339</v>
      </c>
    </row>
    <row r="6" spans="2:14" ht="38.25" customHeight="1" x14ac:dyDescent="0.35">
      <c r="B6" s="39" t="s">
        <v>388</v>
      </c>
      <c r="C6" s="38" t="s">
        <v>389</v>
      </c>
      <c r="D6" s="39" t="s">
        <v>390</v>
      </c>
      <c r="F6" s="39" t="s">
        <v>391</v>
      </c>
      <c r="G6" s="38" t="s">
        <v>389</v>
      </c>
      <c r="H6" s="38" t="s">
        <v>65</v>
      </c>
      <c r="J6" s="9" t="s">
        <v>392</v>
      </c>
      <c r="L6" s="9" t="s">
        <v>342</v>
      </c>
    </row>
    <row r="7" spans="2:14" ht="33" customHeight="1" x14ac:dyDescent="0.35">
      <c r="B7" s="39" t="s">
        <v>393</v>
      </c>
      <c r="C7" s="38" t="s">
        <v>389</v>
      </c>
      <c r="D7" s="39" t="s">
        <v>394</v>
      </c>
      <c r="F7" s="39" t="s">
        <v>395</v>
      </c>
      <c r="G7" s="38" t="s">
        <v>389</v>
      </c>
      <c r="H7" s="38" t="s">
        <v>396</v>
      </c>
      <c r="J7" s="9" t="s">
        <v>347</v>
      </c>
      <c r="L7" s="9" t="s">
        <v>346</v>
      </c>
    </row>
    <row r="8" spans="2:14" ht="33" customHeight="1" x14ac:dyDescent="0.35">
      <c r="B8" s="39" t="s">
        <v>397</v>
      </c>
      <c r="C8" s="38" t="s">
        <v>389</v>
      </c>
      <c r="D8" s="39" t="s">
        <v>398</v>
      </c>
      <c r="F8" s="39" t="s">
        <v>399</v>
      </c>
      <c r="G8" s="38" t="s">
        <v>389</v>
      </c>
      <c r="H8" s="38" t="s">
        <v>400</v>
      </c>
      <c r="J8" s="9" t="s">
        <v>365</v>
      </c>
      <c r="L8" s="9" t="s">
        <v>368</v>
      </c>
    </row>
    <row r="9" spans="2:14" ht="33" customHeight="1" x14ac:dyDescent="0.35">
      <c r="B9" s="39" t="s">
        <v>401</v>
      </c>
      <c r="C9" s="38" t="s">
        <v>389</v>
      </c>
      <c r="D9" s="39" t="s">
        <v>402</v>
      </c>
      <c r="F9" s="39"/>
      <c r="G9" s="38"/>
      <c r="H9" s="38"/>
    </row>
    <row r="10" spans="2:14" ht="14.5" x14ac:dyDescent="0.35">
      <c r="J10" s="9" t="s">
        <v>310</v>
      </c>
      <c r="K10" s="9" t="s">
        <v>311</v>
      </c>
      <c r="L10" s="9" t="s">
        <v>312</v>
      </c>
      <c r="M10" s="9" t="s">
        <v>313</v>
      </c>
      <c r="N10" s="9" t="s">
        <v>318</v>
      </c>
    </row>
    <row r="11" spans="2:14" ht="14.5" x14ac:dyDescent="0.35">
      <c r="J11" s="9" t="s">
        <v>314</v>
      </c>
      <c r="K11" s="9" t="s">
        <v>315</v>
      </c>
      <c r="L11" s="9" t="s">
        <v>316</v>
      </c>
      <c r="M11" s="9" t="s">
        <v>317</v>
      </c>
      <c r="N11" s="9" t="s">
        <v>323</v>
      </c>
    </row>
    <row r="12" spans="2:14" ht="21" x14ac:dyDescent="0.5">
      <c r="B12" s="34" t="s">
        <v>403</v>
      </c>
      <c r="F12" s="34" t="s">
        <v>267</v>
      </c>
      <c r="J12" s="9" t="s">
        <v>319</v>
      </c>
      <c r="K12" s="9" t="s">
        <v>320</v>
      </c>
      <c r="L12" s="9" t="s">
        <v>321</v>
      </c>
      <c r="M12" s="9" t="s">
        <v>322</v>
      </c>
      <c r="N12" s="9" t="s">
        <v>330</v>
      </c>
    </row>
    <row r="13" spans="2:14" ht="14.5" x14ac:dyDescent="0.35">
      <c r="B13" s="35" t="s">
        <v>374</v>
      </c>
      <c r="C13" s="35" t="s">
        <v>375</v>
      </c>
      <c r="D13" s="49" t="s">
        <v>376</v>
      </c>
      <c r="F13" s="35" t="s">
        <v>374</v>
      </c>
      <c r="G13" s="35" t="s">
        <v>375</v>
      </c>
      <c r="H13" s="49" t="s">
        <v>376</v>
      </c>
      <c r="J13" s="9" t="s">
        <v>326</v>
      </c>
      <c r="K13" s="9" t="s">
        <v>404</v>
      </c>
      <c r="L13" s="9" t="s">
        <v>328</v>
      </c>
      <c r="M13" s="9" t="s">
        <v>329</v>
      </c>
      <c r="N13" s="9" t="s">
        <v>338</v>
      </c>
    </row>
    <row r="14" spans="2:14" ht="43.5" x14ac:dyDescent="0.35">
      <c r="B14" s="39" t="s">
        <v>405</v>
      </c>
      <c r="C14" s="38" t="s">
        <v>379</v>
      </c>
      <c r="D14" s="42" t="s">
        <v>406</v>
      </c>
      <c r="F14" s="39" t="s">
        <v>407</v>
      </c>
      <c r="G14" s="38" t="s">
        <v>379</v>
      </c>
      <c r="H14" s="42" t="s">
        <v>408</v>
      </c>
      <c r="J14" s="9" t="s">
        <v>334</v>
      </c>
      <c r="K14" s="9" t="s">
        <v>335</v>
      </c>
      <c r="L14" s="9" t="s">
        <v>409</v>
      </c>
      <c r="M14" s="9" t="s">
        <v>337</v>
      </c>
    </row>
    <row r="15" spans="2:14" ht="43.5" x14ac:dyDescent="0.35">
      <c r="B15" s="39" t="s">
        <v>410</v>
      </c>
      <c r="C15" s="38" t="s">
        <v>379</v>
      </c>
      <c r="D15" s="42" t="s">
        <v>411</v>
      </c>
      <c r="F15" s="39" t="s">
        <v>412</v>
      </c>
      <c r="G15" s="38" t="s">
        <v>379</v>
      </c>
      <c r="H15" s="42" t="s">
        <v>413</v>
      </c>
    </row>
    <row r="16" spans="2:14" ht="29" x14ac:dyDescent="0.35">
      <c r="B16" s="39" t="s">
        <v>414</v>
      </c>
      <c r="C16" s="38" t="s">
        <v>389</v>
      </c>
      <c r="D16" s="42" t="s">
        <v>415</v>
      </c>
      <c r="F16" s="39" t="s">
        <v>416</v>
      </c>
      <c r="G16" s="38" t="s">
        <v>389</v>
      </c>
      <c r="H16" s="42" t="s">
        <v>417</v>
      </c>
      <c r="J16" s="9" t="s">
        <v>345</v>
      </c>
    </row>
    <row r="17" spans="2:10" ht="29" x14ac:dyDescent="0.35">
      <c r="B17" s="39" t="s">
        <v>418</v>
      </c>
      <c r="C17" s="38" t="s">
        <v>389</v>
      </c>
      <c r="D17" s="42" t="s">
        <v>71</v>
      </c>
      <c r="F17" s="39" t="s">
        <v>419</v>
      </c>
      <c r="G17" s="38" t="s">
        <v>389</v>
      </c>
      <c r="H17" s="42" t="s">
        <v>420</v>
      </c>
      <c r="J17" s="9" t="s">
        <v>349</v>
      </c>
    </row>
    <row r="18" spans="2:10" ht="29" x14ac:dyDescent="0.35">
      <c r="B18" s="39" t="s">
        <v>421</v>
      </c>
      <c r="C18" s="38" t="s">
        <v>389</v>
      </c>
      <c r="D18" s="42" t="s">
        <v>131</v>
      </c>
      <c r="F18" s="39" t="s">
        <v>422</v>
      </c>
      <c r="G18" s="38" t="s">
        <v>389</v>
      </c>
      <c r="H18" s="42" t="s">
        <v>130</v>
      </c>
      <c r="J18" s="9" t="s">
        <v>352</v>
      </c>
    </row>
    <row r="19" spans="2:10" ht="14.5" x14ac:dyDescent="0.35">
      <c r="B19" s="39"/>
      <c r="C19" s="38"/>
      <c r="D19" s="42"/>
      <c r="F19" s="39"/>
      <c r="G19" s="38"/>
      <c r="H19" s="42"/>
      <c r="J19" s="9" t="s">
        <v>354</v>
      </c>
    </row>
    <row r="20" spans="2:10" ht="14.5" x14ac:dyDescent="0.35">
      <c r="J20" s="9" t="s">
        <v>356</v>
      </c>
    </row>
    <row r="21" spans="2:10" ht="15.75" customHeight="1" x14ac:dyDescent="0.35"/>
    <row r="22" spans="2:10" ht="15.75" customHeight="1" x14ac:dyDescent="0.5">
      <c r="B22" s="34" t="s">
        <v>304</v>
      </c>
      <c r="F22" s="34" t="s">
        <v>305</v>
      </c>
    </row>
    <row r="23" spans="2:10" ht="15.75" customHeight="1" x14ac:dyDescent="0.35">
      <c r="B23" s="35" t="s">
        <v>374</v>
      </c>
      <c r="C23" s="35" t="s">
        <v>375</v>
      </c>
      <c r="D23" s="49" t="s">
        <v>376</v>
      </c>
      <c r="F23" s="35" t="s">
        <v>374</v>
      </c>
      <c r="G23" s="35" t="s">
        <v>375</v>
      </c>
      <c r="H23" s="49" t="s">
        <v>376</v>
      </c>
    </row>
    <row r="24" spans="2:10" ht="15.75" customHeight="1" x14ac:dyDescent="0.35">
      <c r="B24" s="39" t="s">
        <v>423</v>
      </c>
      <c r="C24" s="38" t="s">
        <v>379</v>
      </c>
      <c r="D24" s="42" t="s">
        <v>424</v>
      </c>
      <c r="F24" s="39" t="s">
        <v>425</v>
      </c>
      <c r="G24" s="38" t="s">
        <v>379</v>
      </c>
      <c r="H24" s="42" t="s">
        <v>39</v>
      </c>
    </row>
    <row r="25" spans="2:10" ht="15.75" customHeight="1" x14ac:dyDescent="0.35">
      <c r="B25" s="39" t="s">
        <v>426</v>
      </c>
      <c r="C25" s="38" t="s">
        <v>379</v>
      </c>
      <c r="D25" s="38" t="s">
        <v>427</v>
      </c>
      <c r="F25" s="39" t="s">
        <v>428</v>
      </c>
      <c r="G25" s="38" t="s">
        <v>379</v>
      </c>
      <c r="H25" s="38" t="s">
        <v>113</v>
      </c>
    </row>
    <row r="26" spans="2:10" ht="15.75" customHeight="1" x14ac:dyDescent="0.35">
      <c r="B26" s="39" t="s">
        <v>429</v>
      </c>
      <c r="C26" s="38" t="s">
        <v>389</v>
      </c>
      <c r="D26" s="42" t="s">
        <v>430</v>
      </c>
      <c r="F26" s="39" t="s">
        <v>431</v>
      </c>
      <c r="G26" s="38" t="s">
        <v>389</v>
      </c>
      <c r="H26" s="42" t="s">
        <v>432</v>
      </c>
    </row>
    <row r="27" spans="2:10" ht="15.75" customHeight="1" x14ac:dyDescent="0.35">
      <c r="B27" s="39" t="s">
        <v>433</v>
      </c>
      <c r="C27" s="38" t="s">
        <v>389</v>
      </c>
      <c r="D27" s="42" t="s">
        <v>139</v>
      </c>
      <c r="F27" s="39" t="s">
        <v>434</v>
      </c>
      <c r="G27" s="38" t="s">
        <v>389</v>
      </c>
      <c r="H27" s="42" t="s">
        <v>128</v>
      </c>
    </row>
    <row r="28" spans="2:10" ht="15.75" customHeight="1" x14ac:dyDescent="0.35">
      <c r="B28" s="39" t="s">
        <v>435</v>
      </c>
      <c r="C28" s="38" t="s">
        <v>389</v>
      </c>
      <c r="D28" s="42" t="s">
        <v>436</v>
      </c>
      <c r="F28" s="39" t="s">
        <v>437</v>
      </c>
      <c r="G28" s="38" t="s">
        <v>389</v>
      </c>
      <c r="H28" s="42" t="s">
        <v>438</v>
      </c>
    </row>
    <row r="29" spans="2:10" ht="15.75" customHeight="1" x14ac:dyDescent="0.35">
      <c r="B29" s="39"/>
      <c r="C29" s="38"/>
      <c r="D29" s="42"/>
      <c r="F29" s="39"/>
      <c r="G29" s="38"/>
      <c r="H29" s="42"/>
    </row>
    <row r="30" spans="2:10" ht="15.75" customHeight="1" x14ac:dyDescent="0.35"/>
    <row r="31" spans="2:10" ht="15.75" customHeight="1" x14ac:dyDescent="0.35">
      <c r="B31" s="1" t="s">
        <v>267</v>
      </c>
      <c r="D31" s="1" t="s">
        <v>305</v>
      </c>
      <c r="F31" s="1" t="s">
        <v>304</v>
      </c>
      <c r="H31" s="1" t="s">
        <v>403</v>
      </c>
    </row>
    <row r="32" spans="2:10" ht="15.75" customHeight="1" x14ac:dyDescent="0.35">
      <c r="B32" s="9" t="s">
        <v>333</v>
      </c>
      <c r="D32" s="9" t="s">
        <v>324</v>
      </c>
      <c r="F32" s="9" t="s">
        <v>332</v>
      </c>
      <c r="H32" s="9" t="s">
        <v>361</v>
      </c>
    </row>
    <row r="33" spans="2:8" ht="15.75" customHeight="1" x14ac:dyDescent="0.35">
      <c r="B33" s="9" t="s">
        <v>340</v>
      </c>
      <c r="D33" s="9" t="s">
        <v>355</v>
      </c>
      <c r="F33" s="9" t="s">
        <v>348</v>
      </c>
      <c r="H33" s="9" t="s">
        <v>364</v>
      </c>
    </row>
    <row r="34" spans="2:8" ht="15.75" customHeight="1" x14ac:dyDescent="0.35">
      <c r="B34" s="9" t="s">
        <v>341</v>
      </c>
      <c r="D34" s="9" t="s">
        <v>357</v>
      </c>
      <c r="F34" s="9" t="s">
        <v>439</v>
      </c>
      <c r="H34" s="9" t="s">
        <v>367</v>
      </c>
    </row>
    <row r="35" spans="2:8" ht="15.75" customHeight="1" x14ac:dyDescent="0.35">
      <c r="B35" s="9" t="s">
        <v>371</v>
      </c>
      <c r="D35" s="9" t="s">
        <v>351</v>
      </c>
      <c r="F35" s="9" t="s">
        <v>440</v>
      </c>
      <c r="H35" s="9" t="s">
        <v>370</v>
      </c>
    </row>
    <row r="36" spans="2:8" ht="15.75" customHeight="1" x14ac:dyDescent="0.35">
      <c r="B36" s="9" t="s">
        <v>350</v>
      </c>
      <c r="D36" s="9" t="s">
        <v>359</v>
      </c>
      <c r="F36" s="9" t="s">
        <v>362</v>
      </c>
    </row>
    <row r="37" spans="2:8" ht="15.75" customHeight="1" x14ac:dyDescent="0.35">
      <c r="B37" s="9" t="s">
        <v>325</v>
      </c>
      <c r="H37" s="1" t="s">
        <v>403</v>
      </c>
    </row>
    <row r="38" spans="2:8" ht="15.75" customHeight="1" x14ac:dyDescent="0.35">
      <c r="B38" s="9" t="s">
        <v>358</v>
      </c>
      <c r="H38" s="9" t="s">
        <v>360</v>
      </c>
    </row>
    <row r="39" spans="2:8" ht="15.75" customHeight="1" x14ac:dyDescent="0.35">
      <c r="B39" s="9" t="s">
        <v>372</v>
      </c>
      <c r="H39" s="9" t="s">
        <v>363</v>
      </c>
    </row>
    <row r="40" spans="2:8" ht="15.75" customHeight="1" x14ac:dyDescent="0.35">
      <c r="H40" s="9" t="s">
        <v>366</v>
      </c>
    </row>
    <row r="41" spans="2:8" ht="15.75" customHeight="1" x14ac:dyDescent="0.35">
      <c r="H41" s="9" t="s">
        <v>369</v>
      </c>
    </row>
    <row r="42" spans="2:8" ht="15.75" customHeight="1" x14ac:dyDescent="0.35"/>
    <row r="43" spans="2:8" ht="15.75" customHeight="1" x14ac:dyDescent="0.35"/>
    <row r="44" spans="2:8" ht="15.75" customHeight="1" x14ac:dyDescent="0.35"/>
    <row r="45" spans="2:8" ht="15.75" customHeight="1" x14ac:dyDescent="0.35"/>
    <row r="46" spans="2:8" ht="15.75" customHeight="1" x14ac:dyDescent="0.35"/>
    <row r="47" spans="2:8" ht="15.75" customHeight="1" x14ac:dyDescent="0.35"/>
    <row r="48" spans="2:8" ht="15.75" customHeight="1" x14ac:dyDescent="0.35"/>
    <row r="49" spans="2:4" ht="15.75" customHeight="1" x14ac:dyDescent="0.35"/>
    <row r="50" spans="2:4" ht="15.75" customHeight="1" x14ac:dyDescent="0.35"/>
    <row r="51" spans="2:4" ht="15.75" customHeight="1" x14ac:dyDescent="0.35"/>
    <row r="52" spans="2:4" ht="15.75" customHeight="1" x14ac:dyDescent="0.35"/>
    <row r="53" spans="2:4" ht="15.75" customHeight="1" x14ac:dyDescent="0.35"/>
    <row r="54" spans="2:4" ht="15.75" customHeight="1" x14ac:dyDescent="0.35"/>
    <row r="55" spans="2:4" ht="15.75" customHeight="1" x14ac:dyDescent="0.35"/>
    <row r="56" spans="2:4" ht="15.75" customHeight="1" x14ac:dyDescent="0.35"/>
    <row r="57" spans="2:4" ht="15.75" customHeight="1" x14ac:dyDescent="0.35"/>
    <row r="58" spans="2:4" ht="15.75" customHeight="1" x14ac:dyDescent="0.35">
      <c r="B58" s="9">
        <v>2860.96</v>
      </c>
      <c r="C58" s="9">
        <f>B58*1.15</f>
        <v>3290.1039999999998</v>
      </c>
      <c r="D58" s="9">
        <f>C58*1.0325</f>
        <v>3397.0323799999996</v>
      </c>
    </row>
    <row r="59" spans="2:4" ht="15.75" customHeight="1" x14ac:dyDescent="0.35">
      <c r="B59" s="9">
        <v>2860.96</v>
      </c>
      <c r="C59" s="9">
        <f>B59*1.0325</f>
        <v>2953.9411999999998</v>
      </c>
      <c r="D59" s="9">
        <f>C59*1.15</f>
        <v>3397.0323799999996</v>
      </c>
    </row>
    <row r="60" spans="2:4" ht="15.75" customHeight="1" x14ac:dyDescent="0.35">
      <c r="C60" s="9">
        <f>3.25+15</f>
        <v>18.25</v>
      </c>
      <c r="D60" s="9">
        <f>B59*1.1825</f>
        <v>3383.0852000000004</v>
      </c>
    </row>
    <row r="61" spans="2:4" ht="15.75" customHeight="1" x14ac:dyDescent="0.35"/>
    <row r="62" spans="2:4" ht="15.75" customHeight="1" x14ac:dyDescent="0.35">
      <c r="B62" s="9">
        <v>2070.96</v>
      </c>
      <c r="C62" s="9">
        <f>B62*1.0325</f>
        <v>2138.2662</v>
      </c>
      <c r="D62" s="9">
        <f>C62*1.15</f>
        <v>2459.0061299999998</v>
      </c>
    </row>
    <row r="63" spans="2:4" ht="15.75" customHeight="1" x14ac:dyDescent="0.35"/>
    <row r="64" spans="2:4" ht="15.75" customHeight="1" x14ac:dyDescent="0.35">
      <c r="D64" s="9">
        <f>1400*1.15</f>
        <v>1609.9999999999998</v>
      </c>
    </row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paperSize="9" orientation="portrait"/>
  <tableParts count="6">
    <tablePart r:id="rId1"/>
    <tablePart r:id="rId2"/>
    <tablePart r:id="rId3"/>
    <tablePart r:id="rId4"/>
    <tablePart r:id="rId5"/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N1000"/>
  <sheetViews>
    <sheetView workbookViewId="0"/>
  </sheetViews>
  <sheetFormatPr defaultColWidth="14.453125" defaultRowHeight="15" customHeight="1" x14ac:dyDescent="0.35"/>
  <cols>
    <col min="1" max="1" width="8.7265625" customWidth="1"/>
    <col min="2" max="2" width="31.54296875" customWidth="1"/>
    <col min="3" max="3" width="25" customWidth="1"/>
    <col min="4" max="4" width="39.81640625" customWidth="1"/>
    <col min="5" max="5" width="8.7265625" customWidth="1"/>
    <col min="6" max="6" width="34.26953125" customWidth="1"/>
    <col min="7" max="7" width="24" customWidth="1"/>
    <col min="8" max="8" width="41.7265625" customWidth="1"/>
    <col min="9" max="9" width="8.7265625" customWidth="1"/>
    <col min="10" max="10" width="27.54296875" customWidth="1"/>
    <col min="11" max="26" width="8.7265625" customWidth="1"/>
  </cols>
  <sheetData>
    <row r="1" spans="2:14" ht="14.25" customHeight="1" x14ac:dyDescent="0.35"/>
    <row r="2" spans="2:14" ht="20.25" customHeight="1" x14ac:dyDescent="0.5">
      <c r="B2" s="34" t="s">
        <v>47</v>
      </c>
      <c r="F2" s="34" t="s">
        <v>208</v>
      </c>
    </row>
    <row r="3" spans="2:14" ht="14.25" customHeight="1" x14ac:dyDescent="0.35">
      <c r="B3" s="35" t="s">
        <v>374</v>
      </c>
      <c r="C3" s="35" t="s">
        <v>375</v>
      </c>
      <c r="D3" s="49" t="s">
        <v>376</v>
      </c>
      <c r="F3" s="35" t="s">
        <v>374</v>
      </c>
      <c r="G3" s="35" t="s">
        <v>375</v>
      </c>
      <c r="H3" s="49" t="s">
        <v>377</v>
      </c>
      <c r="J3" s="1" t="s">
        <v>208</v>
      </c>
      <c r="L3" s="1" t="s">
        <v>208</v>
      </c>
    </row>
    <row r="4" spans="2:14" ht="33" customHeight="1" x14ac:dyDescent="0.35">
      <c r="B4" s="39" t="s">
        <v>441</v>
      </c>
      <c r="C4" s="38" t="s">
        <v>442</v>
      </c>
      <c r="D4" s="39" t="s">
        <v>380</v>
      </c>
      <c r="F4" s="39" t="s">
        <v>441</v>
      </c>
      <c r="G4" s="38" t="s">
        <v>442</v>
      </c>
      <c r="H4" s="38" t="s">
        <v>382</v>
      </c>
      <c r="J4" s="9" t="s">
        <v>383</v>
      </c>
      <c r="L4" s="9" t="s">
        <v>331</v>
      </c>
    </row>
    <row r="5" spans="2:14" ht="33" customHeight="1" x14ac:dyDescent="0.35">
      <c r="B5" s="39" t="s">
        <v>443</v>
      </c>
      <c r="C5" s="38" t="s">
        <v>379</v>
      </c>
      <c r="D5" s="39" t="s">
        <v>385</v>
      </c>
      <c r="F5" s="39" t="s">
        <v>443</v>
      </c>
      <c r="G5" s="38" t="s">
        <v>379</v>
      </c>
      <c r="H5" s="38" t="s">
        <v>444</v>
      </c>
      <c r="J5" s="9" t="s">
        <v>344</v>
      </c>
      <c r="L5" s="9" t="s">
        <v>339</v>
      </c>
    </row>
    <row r="6" spans="2:14" ht="38.25" customHeight="1" x14ac:dyDescent="0.35">
      <c r="B6" s="39" t="s">
        <v>445</v>
      </c>
      <c r="C6" s="38" t="s">
        <v>446</v>
      </c>
      <c r="D6" s="39" t="s">
        <v>447</v>
      </c>
      <c r="F6" s="39" t="s">
        <v>445</v>
      </c>
      <c r="G6" s="38" t="s">
        <v>446</v>
      </c>
      <c r="H6" s="38" t="s">
        <v>65</v>
      </c>
      <c r="J6" s="9" t="s">
        <v>392</v>
      </c>
      <c r="L6" s="9" t="s">
        <v>342</v>
      </c>
    </row>
    <row r="7" spans="2:14" ht="33" customHeight="1" x14ac:dyDescent="0.35">
      <c r="B7" s="39" t="s">
        <v>448</v>
      </c>
      <c r="C7" s="38" t="s">
        <v>442</v>
      </c>
      <c r="D7" s="39" t="s">
        <v>449</v>
      </c>
      <c r="F7" s="39" t="s">
        <v>448</v>
      </c>
      <c r="G7" s="38" t="s">
        <v>442</v>
      </c>
      <c r="H7" s="38" t="s">
        <v>396</v>
      </c>
      <c r="J7" s="9" t="s">
        <v>347</v>
      </c>
      <c r="L7" s="9" t="s">
        <v>346</v>
      </c>
    </row>
    <row r="8" spans="2:14" ht="33" customHeight="1" x14ac:dyDescent="0.35">
      <c r="B8" s="39" t="s">
        <v>450</v>
      </c>
      <c r="C8" s="38" t="s">
        <v>389</v>
      </c>
      <c r="D8" s="39" t="s">
        <v>398</v>
      </c>
      <c r="F8" s="39" t="s">
        <v>451</v>
      </c>
      <c r="G8" s="38" t="s">
        <v>442</v>
      </c>
      <c r="H8" s="38" t="s">
        <v>400</v>
      </c>
      <c r="J8" s="9" t="s">
        <v>365</v>
      </c>
      <c r="L8" s="9" t="s">
        <v>368</v>
      </c>
    </row>
    <row r="9" spans="2:14" ht="33" customHeight="1" x14ac:dyDescent="0.35">
      <c r="B9" s="39" t="s">
        <v>451</v>
      </c>
      <c r="C9" s="38" t="s">
        <v>442</v>
      </c>
      <c r="D9" s="39" t="s">
        <v>402</v>
      </c>
    </row>
    <row r="10" spans="2:14" ht="14.5" x14ac:dyDescent="0.35">
      <c r="J10" s="9" t="s">
        <v>310</v>
      </c>
      <c r="K10" s="9" t="s">
        <v>311</v>
      </c>
      <c r="L10" s="9" t="s">
        <v>312</v>
      </c>
      <c r="M10" s="9" t="s">
        <v>313</v>
      </c>
      <c r="N10" s="9" t="s">
        <v>318</v>
      </c>
    </row>
    <row r="11" spans="2:14" ht="21" x14ac:dyDescent="0.5">
      <c r="F11" s="34" t="s">
        <v>267</v>
      </c>
      <c r="J11" s="9" t="s">
        <v>314</v>
      </c>
      <c r="K11" s="9" t="s">
        <v>315</v>
      </c>
      <c r="L11" s="9" t="s">
        <v>452</v>
      </c>
      <c r="M11" s="9" t="s">
        <v>317</v>
      </c>
      <c r="N11" s="9" t="s">
        <v>323</v>
      </c>
    </row>
    <row r="12" spans="2:14" ht="21" x14ac:dyDescent="0.5">
      <c r="B12" s="34" t="s">
        <v>403</v>
      </c>
      <c r="F12" s="35" t="s">
        <v>374</v>
      </c>
      <c r="G12" s="35" t="s">
        <v>375</v>
      </c>
      <c r="H12" s="49" t="s">
        <v>376</v>
      </c>
      <c r="J12" s="9" t="s">
        <v>319</v>
      </c>
      <c r="K12" s="9" t="s">
        <v>320</v>
      </c>
      <c r="L12" s="9" t="s">
        <v>321</v>
      </c>
      <c r="M12" s="9" t="s">
        <v>322</v>
      </c>
      <c r="N12" s="9" t="s">
        <v>330</v>
      </c>
    </row>
    <row r="13" spans="2:14" ht="14.5" x14ac:dyDescent="0.35">
      <c r="B13" s="35" t="s">
        <v>374</v>
      </c>
      <c r="C13" s="35" t="s">
        <v>375</v>
      </c>
      <c r="D13" s="49" t="s">
        <v>376</v>
      </c>
      <c r="F13" s="39" t="s">
        <v>441</v>
      </c>
      <c r="G13" s="38" t="s">
        <v>442</v>
      </c>
      <c r="H13" s="42" t="s">
        <v>408</v>
      </c>
      <c r="J13" s="9" t="s">
        <v>326</v>
      </c>
      <c r="K13" s="9" t="s">
        <v>404</v>
      </c>
      <c r="L13" s="9" t="s">
        <v>328</v>
      </c>
      <c r="M13" s="9" t="s">
        <v>329</v>
      </c>
      <c r="N13" s="9" t="s">
        <v>338</v>
      </c>
    </row>
    <row r="14" spans="2:14" ht="33" customHeight="1" x14ac:dyDescent="0.35">
      <c r="B14" s="39" t="s">
        <v>441</v>
      </c>
      <c r="C14" s="38" t="s">
        <v>442</v>
      </c>
      <c r="D14" s="42" t="s">
        <v>406</v>
      </c>
      <c r="F14" s="39" t="s">
        <v>443</v>
      </c>
      <c r="G14" s="38" t="s">
        <v>379</v>
      </c>
      <c r="H14" s="42" t="s">
        <v>413</v>
      </c>
      <c r="J14" s="9" t="s">
        <v>334</v>
      </c>
      <c r="K14" s="9" t="s">
        <v>335</v>
      </c>
      <c r="L14" s="9" t="s">
        <v>409</v>
      </c>
      <c r="M14" s="9" t="s">
        <v>337</v>
      </c>
    </row>
    <row r="15" spans="2:14" ht="33" customHeight="1" x14ac:dyDescent="0.35">
      <c r="B15" s="39" t="s">
        <v>443</v>
      </c>
      <c r="C15" s="38" t="s">
        <v>379</v>
      </c>
      <c r="D15" s="42" t="s">
        <v>411</v>
      </c>
      <c r="F15" s="39" t="s">
        <v>445</v>
      </c>
      <c r="G15" s="38" t="s">
        <v>446</v>
      </c>
      <c r="H15" s="42" t="s">
        <v>417</v>
      </c>
    </row>
    <row r="16" spans="2:14" ht="33" customHeight="1" x14ac:dyDescent="0.35">
      <c r="B16" s="39" t="s">
        <v>445</v>
      </c>
      <c r="C16" s="38" t="s">
        <v>446</v>
      </c>
      <c r="D16" s="42" t="s">
        <v>415</v>
      </c>
      <c r="F16" s="39" t="s">
        <v>448</v>
      </c>
      <c r="G16" s="38" t="s">
        <v>442</v>
      </c>
      <c r="H16" s="42" t="s">
        <v>420</v>
      </c>
      <c r="J16" s="9" t="s">
        <v>345</v>
      </c>
    </row>
    <row r="17" spans="2:10" ht="33" customHeight="1" x14ac:dyDescent="0.35">
      <c r="B17" s="39" t="s">
        <v>448</v>
      </c>
      <c r="C17" s="38" t="s">
        <v>442</v>
      </c>
      <c r="D17" s="42" t="s">
        <v>71</v>
      </c>
      <c r="F17" s="39" t="s">
        <v>451</v>
      </c>
      <c r="G17" s="38" t="s">
        <v>442</v>
      </c>
      <c r="H17" s="42" t="s">
        <v>130</v>
      </c>
      <c r="J17" s="9" t="s">
        <v>349</v>
      </c>
    </row>
    <row r="18" spans="2:10" ht="33" customHeight="1" x14ac:dyDescent="0.35">
      <c r="B18" s="39" t="s">
        <v>451</v>
      </c>
      <c r="C18" s="38" t="s">
        <v>442</v>
      </c>
      <c r="D18" s="42" t="s">
        <v>131</v>
      </c>
      <c r="J18" s="9" t="s">
        <v>352</v>
      </c>
    </row>
    <row r="19" spans="2:10" ht="33" customHeight="1" x14ac:dyDescent="0.5">
      <c r="F19" s="34" t="s">
        <v>305</v>
      </c>
      <c r="J19" s="9" t="s">
        <v>354</v>
      </c>
    </row>
    <row r="20" spans="2:10" ht="21" x14ac:dyDescent="0.5">
      <c r="B20" s="34" t="s">
        <v>304</v>
      </c>
      <c r="F20" s="35" t="s">
        <v>374</v>
      </c>
      <c r="G20" s="35" t="s">
        <v>375</v>
      </c>
      <c r="H20" s="49" t="s">
        <v>376</v>
      </c>
      <c r="J20" s="9" t="s">
        <v>356</v>
      </c>
    </row>
    <row r="21" spans="2:10" ht="15.75" customHeight="1" x14ac:dyDescent="0.35">
      <c r="B21" s="35" t="s">
        <v>374</v>
      </c>
      <c r="C21" s="35" t="s">
        <v>375</v>
      </c>
      <c r="D21" s="49" t="s">
        <v>376</v>
      </c>
      <c r="F21" s="39" t="s">
        <v>441</v>
      </c>
      <c r="G21" s="38" t="s">
        <v>442</v>
      </c>
      <c r="H21" s="42" t="s">
        <v>39</v>
      </c>
    </row>
    <row r="22" spans="2:10" ht="15.75" customHeight="1" x14ac:dyDescent="0.35">
      <c r="B22" s="39" t="s">
        <v>441</v>
      </c>
      <c r="C22" s="38" t="s">
        <v>442</v>
      </c>
      <c r="D22" s="42" t="s">
        <v>424</v>
      </c>
      <c r="F22" s="39" t="s">
        <v>443</v>
      </c>
      <c r="G22" s="38" t="s">
        <v>379</v>
      </c>
      <c r="H22" s="38" t="s">
        <v>113</v>
      </c>
    </row>
    <row r="23" spans="2:10" ht="33" customHeight="1" x14ac:dyDescent="0.35">
      <c r="B23" s="39" t="s">
        <v>443</v>
      </c>
      <c r="C23" s="38" t="s">
        <v>379</v>
      </c>
      <c r="D23" s="38" t="s">
        <v>453</v>
      </c>
      <c r="F23" s="39" t="s">
        <v>445</v>
      </c>
      <c r="G23" s="38" t="s">
        <v>446</v>
      </c>
      <c r="H23" s="42" t="s">
        <v>432</v>
      </c>
    </row>
    <row r="24" spans="2:10" ht="33" customHeight="1" x14ac:dyDescent="0.35">
      <c r="B24" s="39" t="s">
        <v>445</v>
      </c>
      <c r="C24" s="38" t="s">
        <v>446</v>
      </c>
      <c r="D24" s="42" t="s">
        <v>430</v>
      </c>
      <c r="F24" s="39" t="s">
        <v>448</v>
      </c>
      <c r="G24" s="38" t="s">
        <v>442</v>
      </c>
      <c r="H24" s="42" t="s">
        <v>128</v>
      </c>
    </row>
    <row r="25" spans="2:10" ht="33" customHeight="1" x14ac:dyDescent="0.35">
      <c r="B25" s="39" t="s">
        <v>448</v>
      </c>
      <c r="C25" s="38" t="s">
        <v>442</v>
      </c>
      <c r="D25" s="42" t="s">
        <v>139</v>
      </c>
      <c r="F25" s="39" t="s">
        <v>451</v>
      </c>
      <c r="G25" s="38" t="s">
        <v>442</v>
      </c>
      <c r="H25" s="42" t="s">
        <v>438</v>
      </c>
    </row>
    <row r="26" spans="2:10" ht="33" customHeight="1" x14ac:dyDescent="0.35">
      <c r="B26" s="39" t="s">
        <v>451</v>
      </c>
      <c r="C26" s="38" t="s">
        <v>442</v>
      </c>
      <c r="D26" s="42" t="s">
        <v>436</v>
      </c>
    </row>
    <row r="27" spans="2:10" ht="33" customHeight="1" x14ac:dyDescent="0.35"/>
    <row r="28" spans="2:10" ht="33" customHeight="1" x14ac:dyDescent="0.35">
      <c r="F28" s="1" t="s">
        <v>304</v>
      </c>
      <c r="G28" s="1" t="s">
        <v>403</v>
      </c>
      <c r="H28" s="1" t="s">
        <v>403</v>
      </c>
    </row>
    <row r="29" spans="2:10" ht="15.75" customHeight="1" x14ac:dyDescent="0.35">
      <c r="B29" s="1" t="s">
        <v>267</v>
      </c>
      <c r="D29" s="1" t="s">
        <v>305</v>
      </c>
      <c r="F29" s="9" t="s">
        <v>332</v>
      </c>
      <c r="G29" s="9" t="s">
        <v>360</v>
      </c>
      <c r="H29" s="9" t="s">
        <v>361</v>
      </c>
    </row>
    <row r="30" spans="2:10" ht="15.75" customHeight="1" x14ac:dyDescent="0.35">
      <c r="B30" s="9" t="s">
        <v>333</v>
      </c>
      <c r="D30" s="9" t="s">
        <v>324</v>
      </c>
      <c r="F30" s="9" t="s">
        <v>348</v>
      </c>
      <c r="G30" s="9" t="s">
        <v>363</v>
      </c>
      <c r="H30" s="9" t="s">
        <v>364</v>
      </c>
    </row>
    <row r="31" spans="2:10" ht="15.75" customHeight="1" x14ac:dyDescent="0.35">
      <c r="B31" s="9" t="s">
        <v>340</v>
      </c>
      <c r="D31" s="9" t="s">
        <v>355</v>
      </c>
      <c r="F31" s="9" t="s">
        <v>439</v>
      </c>
      <c r="G31" s="9" t="s">
        <v>366</v>
      </c>
      <c r="H31" s="9" t="s">
        <v>367</v>
      </c>
    </row>
    <row r="32" spans="2:10" ht="15.75" customHeight="1" x14ac:dyDescent="0.35">
      <c r="B32" s="9" t="s">
        <v>341</v>
      </c>
      <c r="D32" s="9" t="s">
        <v>357</v>
      </c>
      <c r="F32" s="9" t="s">
        <v>440</v>
      </c>
      <c r="G32" s="9" t="s">
        <v>369</v>
      </c>
      <c r="H32" s="9" t="s">
        <v>370</v>
      </c>
    </row>
    <row r="33" spans="2:6" ht="15.75" customHeight="1" x14ac:dyDescent="0.35">
      <c r="B33" s="9" t="s">
        <v>371</v>
      </c>
      <c r="D33" s="9" t="s">
        <v>351</v>
      </c>
      <c r="F33" s="9" t="s">
        <v>362</v>
      </c>
    </row>
    <row r="34" spans="2:6" ht="15.75" customHeight="1" x14ac:dyDescent="0.35">
      <c r="B34" s="9" t="s">
        <v>350</v>
      </c>
      <c r="D34" s="9" t="s">
        <v>359</v>
      </c>
    </row>
    <row r="35" spans="2:6" ht="15.75" customHeight="1" x14ac:dyDescent="0.35">
      <c r="B35" s="9" t="s">
        <v>325</v>
      </c>
    </row>
    <row r="36" spans="2:6" ht="15.75" customHeight="1" x14ac:dyDescent="0.35">
      <c r="B36" s="9" t="s">
        <v>358</v>
      </c>
    </row>
    <row r="37" spans="2:6" ht="15.75" customHeight="1" x14ac:dyDescent="0.35">
      <c r="B37" s="9" t="s">
        <v>372</v>
      </c>
    </row>
    <row r="38" spans="2:6" ht="15.75" customHeight="1" x14ac:dyDescent="0.35"/>
    <row r="39" spans="2:6" ht="15.75" customHeight="1" x14ac:dyDescent="0.35"/>
    <row r="40" spans="2:6" ht="15.75" customHeight="1" x14ac:dyDescent="0.35"/>
    <row r="41" spans="2:6" ht="15.75" customHeight="1" x14ac:dyDescent="0.35"/>
    <row r="42" spans="2:6" ht="15.75" customHeight="1" x14ac:dyDescent="0.35"/>
    <row r="43" spans="2:6" ht="15.75" customHeight="1" x14ac:dyDescent="0.35"/>
    <row r="44" spans="2:6" ht="15.75" customHeight="1" x14ac:dyDescent="0.35"/>
    <row r="45" spans="2:6" ht="15.75" customHeight="1" x14ac:dyDescent="0.35"/>
    <row r="46" spans="2:6" ht="15.75" customHeight="1" x14ac:dyDescent="0.35"/>
    <row r="47" spans="2:6" ht="15.75" customHeight="1" x14ac:dyDescent="0.35"/>
    <row r="48" spans="2:6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  <tableParts count="6">
    <tablePart r:id="rId1"/>
    <tablePart r:id="rId2"/>
    <tablePart r:id="rId3"/>
    <tablePart r:id="rId4"/>
    <tablePart r:id="rId5"/>
    <tablePart r:id="rId6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P1000"/>
  <sheetViews>
    <sheetView workbookViewId="0"/>
  </sheetViews>
  <sheetFormatPr defaultColWidth="14.453125" defaultRowHeight="15" customHeight="1" x14ac:dyDescent="0.35"/>
  <cols>
    <col min="1" max="1" width="8.7265625" customWidth="1"/>
    <col min="2" max="2" width="11.54296875" customWidth="1"/>
    <col min="3" max="3" width="27.08984375" customWidth="1"/>
    <col min="4" max="4" width="19.26953125" customWidth="1"/>
    <col min="5" max="5" width="51.08984375" customWidth="1"/>
    <col min="6" max="6" width="8.7265625" customWidth="1"/>
    <col min="7" max="7" width="12" customWidth="1"/>
    <col min="8" max="8" width="25.26953125" customWidth="1"/>
    <col min="9" max="9" width="19.7265625" customWidth="1"/>
    <col min="10" max="10" width="71.81640625" customWidth="1"/>
    <col min="11" max="12" width="11" customWidth="1"/>
    <col min="13" max="13" width="32.81640625" customWidth="1"/>
    <col min="14" max="14" width="22.26953125" customWidth="1"/>
    <col min="15" max="16" width="61.81640625" customWidth="1"/>
    <col min="17" max="26" width="8.7265625" customWidth="1"/>
  </cols>
  <sheetData>
    <row r="1" spans="2:16" ht="14.5" x14ac:dyDescent="0.35">
      <c r="G1" s="2"/>
      <c r="L1" s="2"/>
    </row>
    <row r="2" spans="2:16" ht="21" x14ac:dyDescent="0.5">
      <c r="B2" s="34" t="s">
        <v>454</v>
      </c>
      <c r="G2" s="50" t="s">
        <v>455</v>
      </c>
      <c r="L2" s="50" t="s">
        <v>456</v>
      </c>
    </row>
    <row r="3" spans="2:16" ht="14.5" x14ac:dyDescent="0.35">
      <c r="B3" s="51" t="s">
        <v>457</v>
      </c>
      <c r="C3" s="52" t="s">
        <v>458</v>
      </c>
      <c r="D3" s="52" t="s">
        <v>459</v>
      </c>
      <c r="E3" s="53" t="s">
        <v>460</v>
      </c>
      <c r="G3" s="54" t="s">
        <v>457</v>
      </c>
      <c r="H3" s="55" t="s">
        <v>458</v>
      </c>
      <c r="I3" s="56" t="s">
        <v>459</v>
      </c>
      <c r="J3" s="57" t="s">
        <v>461</v>
      </c>
      <c r="L3" s="58" t="s">
        <v>457</v>
      </c>
      <c r="M3" s="59" t="s">
        <v>458</v>
      </c>
      <c r="N3" s="59" t="s">
        <v>459</v>
      </c>
      <c r="O3" s="60" t="s">
        <v>461</v>
      </c>
      <c r="P3" s="61"/>
    </row>
    <row r="4" spans="2:16" ht="14.5" x14ac:dyDescent="0.35">
      <c r="B4" s="62" t="s">
        <v>462</v>
      </c>
      <c r="C4" s="63" t="s">
        <v>463</v>
      </c>
      <c r="D4" s="64" t="s">
        <v>464</v>
      </c>
      <c r="E4" s="65" t="s">
        <v>465</v>
      </c>
      <c r="G4" s="66" t="s">
        <v>462</v>
      </c>
      <c r="H4" s="67" t="s">
        <v>466</v>
      </c>
      <c r="I4" s="68"/>
      <c r="J4" s="69"/>
      <c r="L4" s="70" t="s">
        <v>462</v>
      </c>
      <c r="M4" s="71" t="s">
        <v>467</v>
      </c>
      <c r="N4" s="71" t="s">
        <v>468</v>
      </c>
      <c r="O4" s="72" t="s">
        <v>469</v>
      </c>
      <c r="P4" s="61"/>
    </row>
    <row r="5" spans="2:16" ht="14.5" x14ac:dyDescent="0.35">
      <c r="B5" s="62" t="s">
        <v>462</v>
      </c>
      <c r="C5" s="63" t="s">
        <v>470</v>
      </c>
      <c r="D5" s="64" t="s">
        <v>464</v>
      </c>
      <c r="E5" s="65" t="s">
        <v>471</v>
      </c>
      <c r="G5" s="66" t="s">
        <v>462</v>
      </c>
      <c r="H5" s="67" t="s">
        <v>472</v>
      </c>
      <c r="I5" s="68" t="s">
        <v>468</v>
      </c>
      <c r="J5" s="69" t="s">
        <v>473</v>
      </c>
      <c r="L5" s="70" t="s">
        <v>462</v>
      </c>
      <c r="M5" s="71" t="s">
        <v>474</v>
      </c>
      <c r="N5" s="71" t="s">
        <v>468</v>
      </c>
      <c r="O5" s="72" t="s">
        <v>475</v>
      </c>
      <c r="P5" s="61"/>
    </row>
    <row r="6" spans="2:16" ht="14.5" x14ac:dyDescent="0.35">
      <c r="B6" s="62" t="s">
        <v>462</v>
      </c>
      <c r="C6" s="63" t="s">
        <v>476</v>
      </c>
      <c r="D6" s="64" t="s">
        <v>464</v>
      </c>
      <c r="E6" s="65" t="s">
        <v>471</v>
      </c>
      <c r="G6" s="66" t="s">
        <v>462</v>
      </c>
      <c r="H6" s="67" t="s">
        <v>477</v>
      </c>
      <c r="I6" s="68" t="s">
        <v>468</v>
      </c>
      <c r="J6" s="69" t="s">
        <v>475</v>
      </c>
      <c r="L6" s="70" t="s">
        <v>462</v>
      </c>
      <c r="M6" s="71" t="s">
        <v>476</v>
      </c>
      <c r="N6" s="73" t="s">
        <v>464</v>
      </c>
      <c r="O6" s="74" t="s">
        <v>471</v>
      </c>
    </row>
    <row r="7" spans="2:16" ht="14.5" x14ac:dyDescent="0.35">
      <c r="B7" s="62" t="s">
        <v>462</v>
      </c>
      <c r="C7" s="63" t="s">
        <v>478</v>
      </c>
      <c r="D7" s="64" t="s">
        <v>464</v>
      </c>
      <c r="E7" s="65" t="s">
        <v>479</v>
      </c>
      <c r="G7" s="66" t="s">
        <v>462</v>
      </c>
      <c r="H7" s="67" t="s">
        <v>480</v>
      </c>
      <c r="I7" s="68" t="s">
        <v>481</v>
      </c>
      <c r="J7" s="69"/>
      <c r="L7" s="70" t="s">
        <v>462</v>
      </c>
      <c r="M7" s="71" t="s">
        <v>482</v>
      </c>
      <c r="N7" s="73" t="s">
        <v>464</v>
      </c>
      <c r="O7" s="74" t="s">
        <v>479</v>
      </c>
    </row>
    <row r="8" spans="2:16" ht="14.5" x14ac:dyDescent="0.35">
      <c r="B8" s="62" t="s">
        <v>462</v>
      </c>
      <c r="C8" s="63" t="s">
        <v>483</v>
      </c>
      <c r="D8" s="64" t="s">
        <v>464</v>
      </c>
      <c r="E8" s="65" t="s">
        <v>484</v>
      </c>
      <c r="G8" s="66" t="s">
        <v>462</v>
      </c>
      <c r="H8" s="67" t="s">
        <v>485</v>
      </c>
      <c r="I8" s="68" t="s">
        <v>481</v>
      </c>
      <c r="J8" s="69"/>
      <c r="L8" s="70" t="s">
        <v>462</v>
      </c>
      <c r="M8" s="71" t="s">
        <v>486</v>
      </c>
      <c r="N8" s="73" t="s">
        <v>481</v>
      </c>
      <c r="O8" s="74"/>
    </row>
    <row r="9" spans="2:16" ht="14.5" x14ac:dyDescent="0.35">
      <c r="B9" s="75" t="s">
        <v>487</v>
      </c>
      <c r="C9" s="76" t="s">
        <v>488</v>
      </c>
      <c r="D9" s="77" t="s">
        <v>489</v>
      </c>
      <c r="E9" s="78" t="s">
        <v>490</v>
      </c>
      <c r="G9" s="79" t="s">
        <v>487</v>
      </c>
      <c r="H9" s="80" t="s">
        <v>491</v>
      </c>
      <c r="I9" s="81" t="s">
        <v>464</v>
      </c>
      <c r="J9" s="82" t="s">
        <v>492</v>
      </c>
      <c r="L9" s="70" t="s">
        <v>462</v>
      </c>
      <c r="M9" s="71" t="s">
        <v>493</v>
      </c>
      <c r="N9" s="73" t="s">
        <v>464</v>
      </c>
      <c r="O9" s="74" t="s">
        <v>471</v>
      </c>
    </row>
    <row r="10" spans="2:16" ht="14.5" x14ac:dyDescent="0.35">
      <c r="B10" s="75" t="s">
        <v>487</v>
      </c>
      <c r="C10" s="76" t="s">
        <v>494</v>
      </c>
      <c r="D10" s="77" t="s">
        <v>468</v>
      </c>
      <c r="E10" s="78" t="s">
        <v>495</v>
      </c>
      <c r="G10" s="79" t="s">
        <v>487</v>
      </c>
      <c r="H10" s="80" t="s">
        <v>496</v>
      </c>
      <c r="I10" s="81" t="s">
        <v>468</v>
      </c>
      <c r="J10" s="82" t="s">
        <v>497</v>
      </c>
      <c r="L10" s="70" t="s">
        <v>462</v>
      </c>
      <c r="M10" s="71" t="s">
        <v>483</v>
      </c>
      <c r="N10" s="71" t="s">
        <v>464</v>
      </c>
      <c r="O10" s="72" t="s">
        <v>484</v>
      </c>
      <c r="P10" s="61"/>
    </row>
    <row r="11" spans="2:16" ht="14.5" x14ac:dyDescent="0.35">
      <c r="B11" s="75" t="s">
        <v>487</v>
      </c>
      <c r="C11" s="76" t="s">
        <v>494</v>
      </c>
      <c r="D11" s="77" t="s">
        <v>489</v>
      </c>
      <c r="E11" s="78" t="s">
        <v>490</v>
      </c>
      <c r="G11" s="79" t="s">
        <v>487</v>
      </c>
      <c r="H11" s="80" t="s">
        <v>498</v>
      </c>
      <c r="I11" s="81"/>
      <c r="J11" s="82"/>
      <c r="L11" s="70" t="s">
        <v>462</v>
      </c>
      <c r="M11" s="71" t="s">
        <v>499</v>
      </c>
      <c r="N11" s="71" t="s">
        <v>481</v>
      </c>
      <c r="O11" s="72"/>
      <c r="P11" s="61"/>
    </row>
    <row r="12" spans="2:16" ht="14.5" x14ac:dyDescent="0.35">
      <c r="B12" s="75" t="s">
        <v>487</v>
      </c>
      <c r="C12" s="76" t="s">
        <v>500</v>
      </c>
      <c r="D12" s="77" t="s">
        <v>468</v>
      </c>
      <c r="E12" s="78" t="s">
        <v>501</v>
      </c>
      <c r="G12" s="83" t="s">
        <v>487</v>
      </c>
      <c r="H12" s="84" t="s">
        <v>502</v>
      </c>
      <c r="I12" s="85"/>
      <c r="J12" s="86"/>
      <c r="L12" s="70" t="s">
        <v>462</v>
      </c>
      <c r="M12" s="71" t="s">
        <v>503</v>
      </c>
      <c r="N12" s="71" t="s">
        <v>481</v>
      </c>
      <c r="O12" s="72"/>
      <c r="P12" s="61"/>
    </row>
    <row r="13" spans="2:16" ht="14.5" x14ac:dyDescent="0.35">
      <c r="B13" s="75" t="s">
        <v>487</v>
      </c>
      <c r="C13" s="76" t="s">
        <v>500</v>
      </c>
      <c r="D13" s="77" t="s">
        <v>489</v>
      </c>
      <c r="E13" s="78" t="s">
        <v>490</v>
      </c>
      <c r="G13" s="87" t="s">
        <v>504</v>
      </c>
      <c r="H13" s="88" t="s">
        <v>491</v>
      </c>
      <c r="I13" s="89" t="s">
        <v>468</v>
      </c>
      <c r="J13" s="90" t="s">
        <v>505</v>
      </c>
      <c r="L13" s="70" t="s">
        <v>462</v>
      </c>
      <c r="M13" s="71" t="s">
        <v>506</v>
      </c>
      <c r="N13" s="71" t="s">
        <v>468</v>
      </c>
      <c r="O13" s="72" t="s">
        <v>507</v>
      </c>
      <c r="P13" s="61"/>
    </row>
    <row r="14" spans="2:16" ht="14.5" x14ac:dyDescent="0.35">
      <c r="B14" s="75" t="s">
        <v>487</v>
      </c>
      <c r="C14" s="76" t="s">
        <v>508</v>
      </c>
      <c r="D14" s="77" t="s">
        <v>464</v>
      </c>
      <c r="E14" s="78" t="s">
        <v>509</v>
      </c>
      <c r="G14" s="87" t="s">
        <v>504</v>
      </c>
      <c r="H14" s="88" t="s">
        <v>510</v>
      </c>
      <c r="I14" s="89" t="s">
        <v>468</v>
      </c>
      <c r="J14" s="90" t="s">
        <v>511</v>
      </c>
      <c r="L14" s="70" t="s">
        <v>462</v>
      </c>
      <c r="M14" s="71" t="s">
        <v>512</v>
      </c>
      <c r="N14" s="71" t="s">
        <v>468</v>
      </c>
      <c r="O14" s="72" t="s">
        <v>513</v>
      </c>
      <c r="P14" s="61"/>
    </row>
    <row r="15" spans="2:16" ht="14.5" x14ac:dyDescent="0.35">
      <c r="B15" s="75" t="s">
        <v>487</v>
      </c>
      <c r="C15" s="76" t="s">
        <v>508</v>
      </c>
      <c r="D15" s="77" t="s">
        <v>489</v>
      </c>
      <c r="E15" s="78" t="s">
        <v>490</v>
      </c>
      <c r="G15" s="87" t="s">
        <v>504</v>
      </c>
      <c r="H15" s="88" t="s">
        <v>514</v>
      </c>
      <c r="I15" s="89" t="s">
        <v>468</v>
      </c>
      <c r="J15" s="91" t="s">
        <v>515</v>
      </c>
      <c r="L15" s="70" t="s">
        <v>462</v>
      </c>
      <c r="M15" s="71" t="s">
        <v>516</v>
      </c>
      <c r="N15" s="71" t="s">
        <v>468</v>
      </c>
      <c r="O15" s="72" t="s">
        <v>517</v>
      </c>
      <c r="P15" s="61"/>
    </row>
    <row r="16" spans="2:16" ht="14.5" x14ac:dyDescent="0.35">
      <c r="B16" s="75" t="s">
        <v>487</v>
      </c>
      <c r="C16" s="76" t="s">
        <v>518</v>
      </c>
      <c r="D16" s="77" t="s">
        <v>489</v>
      </c>
      <c r="E16" s="78" t="s">
        <v>490</v>
      </c>
      <c r="G16" s="87" t="s">
        <v>504</v>
      </c>
      <c r="H16" s="67" t="s">
        <v>466</v>
      </c>
      <c r="I16" s="89" t="s">
        <v>464</v>
      </c>
      <c r="J16" s="90" t="s">
        <v>519</v>
      </c>
      <c r="L16" s="70" t="s">
        <v>462</v>
      </c>
      <c r="M16" s="71" t="s">
        <v>520</v>
      </c>
      <c r="N16" s="71" t="s">
        <v>481</v>
      </c>
      <c r="O16" s="72"/>
      <c r="P16" s="61"/>
    </row>
    <row r="17" spans="2:16" ht="14.5" x14ac:dyDescent="0.35">
      <c r="B17" s="75" t="s">
        <v>487</v>
      </c>
      <c r="C17" s="76" t="s">
        <v>521</v>
      </c>
      <c r="D17" s="77" t="s">
        <v>489</v>
      </c>
      <c r="E17" s="78" t="s">
        <v>490</v>
      </c>
      <c r="G17" s="79" t="s">
        <v>11</v>
      </c>
      <c r="H17" s="80" t="s">
        <v>522</v>
      </c>
      <c r="I17" s="81" t="s">
        <v>489</v>
      </c>
      <c r="J17" s="82" t="s">
        <v>490</v>
      </c>
      <c r="L17" s="70" t="s">
        <v>462</v>
      </c>
      <c r="M17" s="71" t="s">
        <v>523</v>
      </c>
      <c r="N17" s="71" t="s">
        <v>481</v>
      </c>
      <c r="O17" s="72"/>
      <c r="P17" s="61"/>
    </row>
    <row r="18" spans="2:16" ht="14.5" x14ac:dyDescent="0.35">
      <c r="B18" s="75" t="s">
        <v>487</v>
      </c>
      <c r="C18" s="76" t="s">
        <v>524</v>
      </c>
      <c r="D18" s="77" t="s">
        <v>468</v>
      </c>
      <c r="E18" s="78" t="s">
        <v>525</v>
      </c>
      <c r="G18" s="79" t="s">
        <v>11</v>
      </c>
      <c r="H18" s="80" t="s">
        <v>522</v>
      </c>
      <c r="I18" s="81" t="s">
        <v>468</v>
      </c>
      <c r="J18" s="82" t="s">
        <v>526</v>
      </c>
      <c r="L18" s="92" t="s">
        <v>487</v>
      </c>
      <c r="M18" s="93" t="s">
        <v>527</v>
      </c>
      <c r="N18" s="93" t="s">
        <v>528</v>
      </c>
      <c r="O18" s="94" t="s">
        <v>529</v>
      </c>
      <c r="P18" s="61"/>
    </row>
    <row r="19" spans="2:16" ht="14.5" x14ac:dyDescent="0.35">
      <c r="B19" s="75" t="s">
        <v>487</v>
      </c>
      <c r="C19" s="76" t="s">
        <v>524</v>
      </c>
      <c r="D19" s="77" t="s">
        <v>489</v>
      </c>
      <c r="E19" s="78" t="s">
        <v>490</v>
      </c>
      <c r="G19" s="79" t="s">
        <v>11</v>
      </c>
      <c r="H19" s="80" t="s">
        <v>530</v>
      </c>
      <c r="I19" s="81" t="s">
        <v>489</v>
      </c>
      <c r="J19" s="82" t="s">
        <v>490</v>
      </c>
      <c r="L19" s="92" t="s">
        <v>487</v>
      </c>
      <c r="M19" s="93" t="s">
        <v>531</v>
      </c>
      <c r="N19" s="93" t="s">
        <v>468</v>
      </c>
      <c r="O19" s="94" t="s">
        <v>532</v>
      </c>
      <c r="P19" s="61"/>
    </row>
    <row r="20" spans="2:16" ht="15.75" customHeight="1" x14ac:dyDescent="0.35">
      <c r="B20" s="75" t="s">
        <v>487</v>
      </c>
      <c r="C20" s="76" t="s">
        <v>533</v>
      </c>
      <c r="D20" s="77" t="s">
        <v>528</v>
      </c>
      <c r="E20" s="78" t="s">
        <v>534</v>
      </c>
      <c r="G20" s="79" t="s">
        <v>11</v>
      </c>
      <c r="H20" s="80" t="s">
        <v>530</v>
      </c>
      <c r="I20" s="81" t="s">
        <v>468</v>
      </c>
      <c r="J20" s="82" t="s">
        <v>535</v>
      </c>
      <c r="L20" s="92" t="s">
        <v>487</v>
      </c>
      <c r="M20" s="93" t="s">
        <v>531</v>
      </c>
      <c r="N20" s="93" t="s">
        <v>464</v>
      </c>
      <c r="O20" s="95" t="s">
        <v>492</v>
      </c>
      <c r="P20" s="96"/>
    </row>
    <row r="21" spans="2:16" ht="15.75" customHeight="1" x14ac:dyDescent="0.35">
      <c r="B21" s="75" t="s">
        <v>487</v>
      </c>
      <c r="C21" s="76" t="s">
        <v>533</v>
      </c>
      <c r="D21" s="77" t="s">
        <v>489</v>
      </c>
      <c r="E21" s="78" t="s">
        <v>490</v>
      </c>
      <c r="G21" s="79" t="s">
        <v>11</v>
      </c>
      <c r="H21" s="80" t="s">
        <v>536</v>
      </c>
      <c r="I21" s="81" t="s">
        <v>468</v>
      </c>
      <c r="J21" s="82" t="s">
        <v>537</v>
      </c>
      <c r="L21" s="92" t="s">
        <v>487</v>
      </c>
      <c r="M21" s="93" t="s">
        <v>538</v>
      </c>
      <c r="N21" s="93" t="s">
        <v>468</v>
      </c>
      <c r="O21" s="94" t="s">
        <v>539</v>
      </c>
      <c r="P21" s="61"/>
    </row>
    <row r="22" spans="2:16" ht="15.75" customHeight="1" x14ac:dyDescent="0.35">
      <c r="B22" s="75" t="s">
        <v>487</v>
      </c>
      <c r="C22" s="76" t="s">
        <v>540</v>
      </c>
      <c r="D22" s="77" t="s">
        <v>528</v>
      </c>
      <c r="E22" s="78" t="s">
        <v>541</v>
      </c>
      <c r="G22" s="79" t="s">
        <v>11</v>
      </c>
      <c r="H22" s="80" t="s">
        <v>542</v>
      </c>
      <c r="I22" s="81" t="s">
        <v>468</v>
      </c>
      <c r="J22" s="82" t="s">
        <v>535</v>
      </c>
      <c r="L22" s="97" t="s">
        <v>487</v>
      </c>
      <c r="M22" s="98" t="s">
        <v>543</v>
      </c>
      <c r="N22" s="98" t="s">
        <v>464</v>
      </c>
      <c r="O22" s="99" t="s">
        <v>544</v>
      </c>
      <c r="P22" s="61"/>
    </row>
    <row r="23" spans="2:16" ht="15.75" customHeight="1" x14ac:dyDescent="0.35">
      <c r="B23" s="100" t="s">
        <v>487</v>
      </c>
      <c r="C23" s="101" t="s">
        <v>540</v>
      </c>
      <c r="D23" s="102" t="s">
        <v>489</v>
      </c>
      <c r="E23" s="103" t="s">
        <v>490</v>
      </c>
      <c r="G23" s="79" t="s">
        <v>11</v>
      </c>
      <c r="H23" s="80" t="s">
        <v>542</v>
      </c>
      <c r="I23" s="81" t="s">
        <v>489</v>
      </c>
      <c r="J23" s="82" t="s">
        <v>490</v>
      </c>
      <c r="L23" s="104" t="s">
        <v>504</v>
      </c>
      <c r="M23" s="105" t="s">
        <v>243</v>
      </c>
      <c r="N23" s="105" t="s">
        <v>468</v>
      </c>
      <c r="O23" s="106" t="s">
        <v>545</v>
      </c>
      <c r="P23" s="61"/>
    </row>
    <row r="24" spans="2:16" ht="15.75" customHeight="1" x14ac:dyDescent="0.35">
      <c r="B24" s="75" t="s">
        <v>487</v>
      </c>
      <c r="C24" s="76" t="s">
        <v>546</v>
      </c>
      <c r="D24" s="77" t="s">
        <v>489</v>
      </c>
      <c r="E24" s="78" t="s">
        <v>490</v>
      </c>
      <c r="G24" s="79" t="s">
        <v>11</v>
      </c>
      <c r="H24" s="80" t="s">
        <v>547</v>
      </c>
      <c r="I24" s="81" t="s">
        <v>548</v>
      </c>
      <c r="J24" s="82" t="s">
        <v>549</v>
      </c>
      <c r="L24" s="104" t="s">
        <v>504</v>
      </c>
      <c r="M24" s="105" t="s">
        <v>243</v>
      </c>
      <c r="N24" s="105"/>
      <c r="O24" s="106" t="s">
        <v>550</v>
      </c>
      <c r="P24" s="61"/>
    </row>
    <row r="25" spans="2:16" ht="15.75" customHeight="1" x14ac:dyDescent="0.35">
      <c r="B25" s="75" t="s">
        <v>487</v>
      </c>
      <c r="C25" s="76" t="s">
        <v>551</v>
      </c>
      <c r="D25" s="77" t="s">
        <v>489</v>
      </c>
      <c r="E25" s="78" t="s">
        <v>490</v>
      </c>
      <c r="G25" s="79" t="s">
        <v>11</v>
      </c>
      <c r="H25" s="80" t="s">
        <v>552</v>
      </c>
      <c r="I25" s="81" t="s">
        <v>489</v>
      </c>
      <c r="J25" s="82" t="s">
        <v>490</v>
      </c>
      <c r="L25" s="104" t="s">
        <v>504</v>
      </c>
      <c r="M25" s="105" t="s">
        <v>553</v>
      </c>
      <c r="N25" s="105" t="s">
        <v>468</v>
      </c>
      <c r="O25" s="106" t="s">
        <v>554</v>
      </c>
      <c r="P25" s="61"/>
    </row>
    <row r="26" spans="2:16" ht="15.75" customHeight="1" x14ac:dyDescent="0.35">
      <c r="B26" s="75" t="s">
        <v>487</v>
      </c>
      <c r="C26" s="76" t="s">
        <v>555</v>
      </c>
      <c r="D26" s="77" t="s">
        <v>489</v>
      </c>
      <c r="E26" s="78" t="s">
        <v>490</v>
      </c>
      <c r="G26" s="79" t="s">
        <v>11</v>
      </c>
      <c r="H26" s="80" t="s">
        <v>552</v>
      </c>
      <c r="I26" s="81" t="s">
        <v>464</v>
      </c>
      <c r="J26" s="82" t="s">
        <v>556</v>
      </c>
      <c r="L26" s="104" t="s">
        <v>504</v>
      </c>
      <c r="M26" s="107" t="s">
        <v>255</v>
      </c>
      <c r="N26" s="105" t="s">
        <v>468</v>
      </c>
      <c r="O26" s="106" t="s">
        <v>557</v>
      </c>
      <c r="P26" s="61"/>
    </row>
    <row r="27" spans="2:16" ht="15" customHeight="1" x14ac:dyDescent="0.35">
      <c r="B27" s="75" t="s">
        <v>487</v>
      </c>
      <c r="C27" s="76" t="s">
        <v>558</v>
      </c>
      <c r="D27" s="77" t="s">
        <v>489</v>
      </c>
      <c r="E27" s="78" t="s">
        <v>490</v>
      </c>
      <c r="G27" s="66" t="s">
        <v>559</v>
      </c>
      <c r="H27" s="67" t="s">
        <v>560</v>
      </c>
      <c r="I27" s="68" t="s">
        <v>468</v>
      </c>
      <c r="J27" s="69" t="s">
        <v>561</v>
      </c>
      <c r="L27" s="104" t="s">
        <v>504</v>
      </c>
      <c r="M27" s="105" t="s">
        <v>562</v>
      </c>
      <c r="N27" s="105" t="s">
        <v>468</v>
      </c>
      <c r="O27" s="106" t="s">
        <v>563</v>
      </c>
      <c r="P27" s="61"/>
    </row>
    <row r="28" spans="2:16" ht="15" customHeight="1" x14ac:dyDescent="0.35">
      <c r="B28" s="108" t="s">
        <v>504</v>
      </c>
      <c r="C28" s="109" t="s">
        <v>564</v>
      </c>
      <c r="D28" s="110" t="s">
        <v>468</v>
      </c>
      <c r="E28" s="111" t="s">
        <v>565</v>
      </c>
      <c r="G28" s="66" t="s">
        <v>559</v>
      </c>
      <c r="H28" s="67" t="s">
        <v>566</v>
      </c>
      <c r="I28" s="68" t="s">
        <v>548</v>
      </c>
      <c r="J28" s="69" t="s">
        <v>567</v>
      </c>
      <c r="L28" s="104" t="s">
        <v>504</v>
      </c>
      <c r="M28" s="112" t="s">
        <v>568</v>
      </c>
      <c r="N28" s="71" t="s">
        <v>481</v>
      </c>
      <c r="O28" s="113"/>
      <c r="P28" s="61"/>
    </row>
    <row r="29" spans="2:16" ht="15" customHeight="1" x14ac:dyDescent="0.35">
      <c r="B29" s="108" t="s">
        <v>504</v>
      </c>
      <c r="C29" s="109" t="s">
        <v>569</v>
      </c>
      <c r="D29" s="110" t="s">
        <v>468</v>
      </c>
      <c r="E29" s="111" t="s">
        <v>570</v>
      </c>
      <c r="G29" s="114" t="s">
        <v>559</v>
      </c>
      <c r="H29" s="115" t="s">
        <v>571</v>
      </c>
      <c r="I29" s="116" t="s">
        <v>468</v>
      </c>
      <c r="J29" s="117" t="s">
        <v>572</v>
      </c>
      <c r="L29" s="92" t="s">
        <v>11</v>
      </c>
      <c r="M29" s="93" t="s">
        <v>573</v>
      </c>
      <c r="N29" s="93" t="s">
        <v>489</v>
      </c>
      <c r="O29" s="94" t="s">
        <v>490</v>
      </c>
      <c r="P29" s="118"/>
    </row>
    <row r="30" spans="2:16" ht="15.75" customHeight="1" x14ac:dyDescent="0.35">
      <c r="B30" s="108" t="s">
        <v>504</v>
      </c>
      <c r="C30" s="109" t="s">
        <v>574</v>
      </c>
      <c r="D30" s="110" t="s">
        <v>464</v>
      </c>
      <c r="E30" s="111" t="s">
        <v>575</v>
      </c>
      <c r="G30" s="79" t="s">
        <v>576</v>
      </c>
      <c r="H30" s="80" t="s">
        <v>577</v>
      </c>
      <c r="I30" s="81" t="s">
        <v>468</v>
      </c>
      <c r="J30" s="82" t="s">
        <v>578</v>
      </c>
      <c r="L30" s="92" t="s">
        <v>11</v>
      </c>
      <c r="M30" s="93" t="s">
        <v>579</v>
      </c>
      <c r="N30" s="93" t="s">
        <v>489</v>
      </c>
      <c r="O30" s="94" t="s">
        <v>490</v>
      </c>
    </row>
    <row r="31" spans="2:16" ht="15.75" customHeight="1" x14ac:dyDescent="0.35">
      <c r="B31" s="108" t="s">
        <v>504</v>
      </c>
      <c r="C31" s="109" t="s">
        <v>574</v>
      </c>
      <c r="D31" s="110" t="s">
        <v>481</v>
      </c>
      <c r="E31" s="111" t="s">
        <v>580</v>
      </c>
      <c r="G31" s="66" t="s">
        <v>581</v>
      </c>
      <c r="H31" s="67" t="s">
        <v>582</v>
      </c>
      <c r="I31" s="68" t="s">
        <v>489</v>
      </c>
      <c r="J31" s="69" t="s">
        <v>490</v>
      </c>
      <c r="L31" s="92" t="s">
        <v>11</v>
      </c>
      <c r="M31" s="93" t="s">
        <v>583</v>
      </c>
      <c r="N31" s="93" t="s">
        <v>489</v>
      </c>
      <c r="O31" s="94" t="s">
        <v>490</v>
      </c>
    </row>
    <row r="32" spans="2:16" ht="15.75" customHeight="1" x14ac:dyDescent="0.35">
      <c r="B32" s="108" t="s">
        <v>504</v>
      </c>
      <c r="C32" s="119" t="s">
        <v>584</v>
      </c>
      <c r="D32" s="110" t="s">
        <v>464</v>
      </c>
      <c r="E32" s="111" t="s">
        <v>585</v>
      </c>
      <c r="G32" s="66" t="s">
        <v>581</v>
      </c>
      <c r="H32" s="67" t="s">
        <v>586</v>
      </c>
      <c r="I32" s="68" t="s">
        <v>489</v>
      </c>
      <c r="J32" s="69" t="s">
        <v>490</v>
      </c>
      <c r="L32" s="92" t="s">
        <v>11</v>
      </c>
      <c r="M32" s="93" t="s">
        <v>587</v>
      </c>
      <c r="N32" s="93" t="s">
        <v>489</v>
      </c>
      <c r="O32" s="94" t="s">
        <v>588</v>
      </c>
    </row>
    <row r="33" spans="2:16" ht="15.75" customHeight="1" x14ac:dyDescent="0.35">
      <c r="B33" s="108" t="s">
        <v>504</v>
      </c>
      <c r="C33" s="119" t="s">
        <v>584</v>
      </c>
      <c r="D33" s="110" t="s">
        <v>481</v>
      </c>
      <c r="E33" s="111"/>
      <c r="G33" s="66" t="s">
        <v>581</v>
      </c>
      <c r="H33" s="67" t="s">
        <v>586</v>
      </c>
      <c r="I33" s="68" t="s">
        <v>468</v>
      </c>
      <c r="J33" s="69" t="s">
        <v>589</v>
      </c>
      <c r="L33" s="92" t="s">
        <v>11</v>
      </c>
      <c r="M33" s="93" t="s">
        <v>590</v>
      </c>
      <c r="N33" s="93" t="s">
        <v>468</v>
      </c>
      <c r="O33" s="94" t="s">
        <v>591</v>
      </c>
    </row>
    <row r="34" spans="2:16" ht="15.75" customHeight="1" x14ac:dyDescent="0.35">
      <c r="B34" s="108" t="s">
        <v>504</v>
      </c>
      <c r="C34" s="120" t="s">
        <v>592</v>
      </c>
      <c r="D34" s="110" t="s">
        <v>481</v>
      </c>
      <c r="E34" s="111"/>
      <c r="G34" s="66" t="s">
        <v>581</v>
      </c>
      <c r="H34" s="67" t="s">
        <v>593</v>
      </c>
      <c r="I34" s="68" t="s">
        <v>489</v>
      </c>
      <c r="J34" s="69" t="s">
        <v>490</v>
      </c>
      <c r="L34" s="92" t="s">
        <v>11</v>
      </c>
      <c r="M34" s="93" t="s">
        <v>583</v>
      </c>
      <c r="N34" s="93" t="s">
        <v>468</v>
      </c>
      <c r="O34" s="94" t="s">
        <v>594</v>
      </c>
    </row>
    <row r="35" spans="2:16" ht="15.75" customHeight="1" x14ac:dyDescent="0.35">
      <c r="B35" s="108" t="s">
        <v>504</v>
      </c>
      <c r="C35" s="120" t="s">
        <v>595</v>
      </c>
      <c r="D35" s="110" t="s">
        <v>464</v>
      </c>
      <c r="E35" s="111" t="s">
        <v>596</v>
      </c>
      <c r="G35" s="66" t="s">
        <v>581</v>
      </c>
      <c r="H35" s="67" t="s">
        <v>597</v>
      </c>
      <c r="I35" s="68" t="s">
        <v>489</v>
      </c>
      <c r="J35" s="69" t="s">
        <v>490</v>
      </c>
      <c r="L35" s="92" t="s">
        <v>11</v>
      </c>
      <c r="M35" s="93" t="s">
        <v>598</v>
      </c>
      <c r="N35" s="93" t="s">
        <v>468</v>
      </c>
      <c r="O35" s="94" t="s">
        <v>599</v>
      </c>
    </row>
    <row r="36" spans="2:16" ht="15.75" customHeight="1" x14ac:dyDescent="0.35">
      <c r="B36" s="108" t="s">
        <v>504</v>
      </c>
      <c r="C36" s="120" t="s">
        <v>595</v>
      </c>
      <c r="D36" s="110" t="s">
        <v>481</v>
      </c>
      <c r="E36" s="111" t="s">
        <v>580</v>
      </c>
      <c r="G36" s="66" t="s">
        <v>581</v>
      </c>
      <c r="H36" s="67" t="s">
        <v>600</v>
      </c>
      <c r="I36" s="68" t="s">
        <v>489</v>
      </c>
      <c r="J36" s="69" t="s">
        <v>490</v>
      </c>
      <c r="L36" s="70" t="s">
        <v>559</v>
      </c>
      <c r="M36" s="71" t="s">
        <v>214</v>
      </c>
      <c r="N36" s="71" t="s">
        <v>464</v>
      </c>
      <c r="O36" s="72" t="s">
        <v>601</v>
      </c>
    </row>
    <row r="37" spans="2:16" ht="15.75" customHeight="1" x14ac:dyDescent="0.35">
      <c r="B37" s="75" t="s">
        <v>11</v>
      </c>
      <c r="C37" s="121" t="s">
        <v>602</v>
      </c>
      <c r="D37" s="77" t="s">
        <v>489</v>
      </c>
      <c r="E37" s="78" t="s">
        <v>490</v>
      </c>
      <c r="G37" s="66" t="s">
        <v>581</v>
      </c>
      <c r="H37" s="67" t="s">
        <v>600</v>
      </c>
      <c r="I37" s="68" t="s">
        <v>468</v>
      </c>
      <c r="J37" s="69" t="s">
        <v>603</v>
      </c>
      <c r="L37" s="70" t="s">
        <v>559</v>
      </c>
      <c r="M37" s="71" t="s">
        <v>220</v>
      </c>
      <c r="N37" s="71" t="s">
        <v>468</v>
      </c>
      <c r="O37" s="72" t="s">
        <v>604</v>
      </c>
    </row>
    <row r="38" spans="2:16" ht="15.75" customHeight="1" x14ac:dyDescent="0.35">
      <c r="B38" s="75" t="s">
        <v>11</v>
      </c>
      <c r="C38" s="121" t="s">
        <v>605</v>
      </c>
      <c r="D38" s="77" t="s">
        <v>468</v>
      </c>
      <c r="E38" s="78" t="s">
        <v>606</v>
      </c>
      <c r="G38" s="66" t="s">
        <v>581</v>
      </c>
      <c r="H38" s="67" t="s">
        <v>607</v>
      </c>
      <c r="I38" s="68" t="s">
        <v>489</v>
      </c>
      <c r="J38" s="69" t="s">
        <v>490</v>
      </c>
      <c r="L38" s="70" t="s">
        <v>559</v>
      </c>
      <c r="M38" s="71" t="s">
        <v>608</v>
      </c>
      <c r="N38" s="71" t="s">
        <v>468</v>
      </c>
      <c r="O38" s="72" t="s">
        <v>609</v>
      </c>
    </row>
    <row r="39" spans="2:16" ht="15.75" customHeight="1" x14ac:dyDescent="0.35">
      <c r="B39" s="75" t="s">
        <v>11</v>
      </c>
      <c r="C39" s="121" t="s">
        <v>610</v>
      </c>
      <c r="D39" s="77" t="s">
        <v>489</v>
      </c>
      <c r="E39" s="78" t="s">
        <v>490</v>
      </c>
      <c r="G39" s="66" t="s">
        <v>581</v>
      </c>
      <c r="H39" s="67" t="s">
        <v>607</v>
      </c>
      <c r="I39" s="68" t="s">
        <v>468</v>
      </c>
      <c r="J39" s="69" t="s">
        <v>611</v>
      </c>
      <c r="L39" s="70" t="s">
        <v>559</v>
      </c>
      <c r="M39" s="71" t="s">
        <v>232</v>
      </c>
      <c r="N39" s="71" t="s">
        <v>468</v>
      </c>
      <c r="O39" s="72" t="s">
        <v>612</v>
      </c>
    </row>
    <row r="40" spans="2:16" ht="15.75" customHeight="1" x14ac:dyDescent="0.35">
      <c r="B40" s="75" t="s">
        <v>11</v>
      </c>
      <c r="C40" s="121" t="s">
        <v>613</v>
      </c>
      <c r="D40" s="77" t="s">
        <v>468</v>
      </c>
      <c r="E40" s="78" t="s">
        <v>526</v>
      </c>
      <c r="G40" s="2"/>
      <c r="J40" s="9" t="s">
        <v>614</v>
      </c>
      <c r="L40" s="122" t="s">
        <v>559</v>
      </c>
      <c r="M40" s="123" t="s">
        <v>238</v>
      </c>
      <c r="N40" s="123" t="s">
        <v>468</v>
      </c>
      <c r="O40" s="124" t="s">
        <v>615</v>
      </c>
    </row>
    <row r="41" spans="2:16" ht="15.75" customHeight="1" x14ac:dyDescent="0.35">
      <c r="B41" s="75" t="s">
        <v>11</v>
      </c>
      <c r="C41" s="121" t="s">
        <v>616</v>
      </c>
      <c r="D41" s="77" t="s">
        <v>489</v>
      </c>
      <c r="E41" s="78" t="s">
        <v>490</v>
      </c>
      <c r="G41" s="2"/>
      <c r="L41" s="70" t="s">
        <v>559</v>
      </c>
      <c r="M41" s="71" t="s">
        <v>617</v>
      </c>
      <c r="N41" s="71" t="s">
        <v>489</v>
      </c>
      <c r="O41" s="72" t="s">
        <v>618</v>
      </c>
    </row>
    <row r="42" spans="2:16" ht="15.75" customHeight="1" x14ac:dyDescent="0.35">
      <c r="B42" s="75" t="s">
        <v>11</v>
      </c>
      <c r="C42" s="77" t="s">
        <v>619</v>
      </c>
      <c r="D42" s="77" t="s">
        <v>468</v>
      </c>
      <c r="E42" s="78" t="s">
        <v>620</v>
      </c>
      <c r="G42" s="2"/>
      <c r="L42" s="70" t="s">
        <v>559</v>
      </c>
      <c r="M42" s="71" t="s">
        <v>617</v>
      </c>
      <c r="N42" s="71" t="s">
        <v>464</v>
      </c>
      <c r="O42" s="72" t="s">
        <v>621</v>
      </c>
      <c r="P42" s="61"/>
    </row>
    <row r="43" spans="2:16" ht="15.75" customHeight="1" x14ac:dyDescent="0.35">
      <c r="B43" s="75" t="s">
        <v>11</v>
      </c>
      <c r="C43" s="121" t="s">
        <v>622</v>
      </c>
      <c r="D43" s="77" t="s">
        <v>489</v>
      </c>
      <c r="E43" s="78" t="s">
        <v>490</v>
      </c>
      <c r="G43" s="2"/>
      <c r="L43" s="70" t="s">
        <v>559</v>
      </c>
      <c r="M43" s="71" t="s">
        <v>623</v>
      </c>
      <c r="N43" s="71" t="s">
        <v>464</v>
      </c>
      <c r="O43" s="72" t="s">
        <v>624</v>
      </c>
    </row>
    <row r="44" spans="2:16" ht="15.75" customHeight="1" x14ac:dyDescent="0.35">
      <c r="B44" s="75" t="s">
        <v>11</v>
      </c>
      <c r="C44" s="121" t="s">
        <v>625</v>
      </c>
      <c r="D44" s="77" t="s">
        <v>468</v>
      </c>
      <c r="E44" s="78" t="s">
        <v>626</v>
      </c>
      <c r="G44" s="2"/>
      <c r="L44" s="70" t="s">
        <v>559</v>
      </c>
      <c r="M44" s="71" t="s">
        <v>623</v>
      </c>
      <c r="N44" s="71" t="s">
        <v>489</v>
      </c>
      <c r="O44" s="72" t="s">
        <v>627</v>
      </c>
    </row>
    <row r="45" spans="2:16" ht="15.75" customHeight="1" x14ac:dyDescent="0.35">
      <c r="B45" s="75" t="s">
        <v>11</v>
      </c>
      <c r="C45" s="121" t="s">
        <v>628</v>
      </c>
      <c r="D45" s="77" t="s">
        <v>464</v>
      </c>
      <c r="E45" s="78" t="s">
        <v>629</v>
      </c>
      <c r="G45" s="2"/>
      <c r="L45" s="70" t="s">
        <v>559</v>
      </c>
      <c r="M45" s="71" t="s">
        <v>623</v>
      </c>
      <c r="N45" s="71" t="s">
        <v>489</v>
      </c>
      <c r="O45" s="72" t="s">
        <v>630</v>
      </c>
    </row>
    <row r="46" spans="2:16" ht="15.75" customHeight="1" x14ac:dyDescent="0.35">
      <c r="B46" s="75" t="s">
        <v>631</v>
      </c>
      <c r="C46" s="121" t="s">
        <v>632</v>
      </c>
      <c r="D46" s="77" t="s">
        <v>464</v>
      </c>
      <c r="E46" s="78" t="s">
        <v>633</v>
      </c>
      <c r="G46" s="2"/>
      <c r="L46" s="70" t="s">
        <v>559</v>
      </c>
      <c r="M46" s="71" t="s">
        <v>623</v>
      </c>
      <c r="N46" s="71" t="s">
        <v>489</v>
      </c>
      <c r="O46" s="72" t="s">
        <v>634</v>
      </c>
    </row>
    <row r="47" spans="2:16" ht="15.75" customHeight="1" x14ac:dyDescent="0.35">
      <c r="B47" s="62" t="s">
        <v>559</v>
      </c>
      <c r="C47" s="63" t="s">
        <v>635</v>
      </c>
      <c r="D47" s="64" t="s">
        <v>636</v>
      </c>
      <c r="E47" s="65"/>
      <c r="G47" s="2"/>
      <c r="L47" s="92" t="s">
        <v>576</v>
      </c>
      <c r="M47" s="93" t="s">
        <v>637</v>
      </c>
      <c r="N47" s="71" t="s">
        <v>464</v>
      </c>
      <c r="O47" s="94" t="s">
        <v>638</v>
      </c>
    </row>
    <row r="48" spans="2:16" ht="15.75" customHeight="1" x14ac:dyDescent="0.35">
      <c r="B48" s="62" t="s">
        <v>559</v>
      </c>
      <c r="C48" s="63" t="s">
        <v>639</v>
      </c>
      <c r="D48" s="64" t="s">
        <v>636</v>
      </c>
      <c r="E48" s="65"/>
      <c r="G48" s="2"/>
      <c r="L48" s="92" t="s">
        <v>576</v>
      </c>
      <c r="M48" s="93" t="s">
        <v>640</v>
      </c>
      <c r="N48" s="93" t="s">
        <v>468</v>
      </c>
      <c r="O48" s="94" t="s">
        <v>641</v>
      </c>
    </row>
    <row r="49" spans="2:15" ht="15.75" customHeight="1" x14ac:dyDescent="0.35">
      <c r="B49" s="62" t="s">
        <v>559</v>
      </c>
      <c r="C49" s="63" t="s">
        <v>642</v>
      </c>
      <c r="D49" s="64" t="s">
        <v>468</v>
      </c>
      <c r="E49" s="65" t="s">
        <v>643</v>
      </c>
      <c r="G49" s="2"/>
      <c r="L49" s="92" t="s">
        <v>576</v>
      </c>
      <c r="M49" s="93" t="s">
        <v>640</v>
      </c>
      <c r="N49" s="93" t="s">
        <v>464</v>
      </c>
      <c r="O49" s="94" t="s">
        <v>644</v>
      </c>
    </row>
    <row r="50" spans="2:15" ht="15.75" customHeight="1" x14ac:dyDescent="0.35">
      <c r="B50" s="125" t="s">
        <v>559</v>
      </c>
      <c r="C50" s="126" t="s">
        <v>243</v>
      </c>
      <c r="D50" s="127" t="s">
        <v>636</v>
      </c>
      <c r="E50" s="128"/>
      <c r="G50" s="2"/>
      <c r="L50" s="92" t="s">
        <v>576</v>
      </c>
      <c r="M50" s="93" t="s">
        <v>645</v>
      </c>
      <c r="N50" s="93" t="s">
        <v>468</v>
      </c>
      <c r="O50" s="94" t="s">
        <v>646</v>
      </c>
    </row>
    <row r="51" spans="2:15" ht="15.75" customHeight="1" x14ac:dyDescent="0.35">
      <c r="B51" s="75" t="s">
        <v>576</v>
      </c>
      <c r="C51" s="76" t="s">
        <v>647</v>
      </c>
      <c r="D51" s="77" t="s">
        <v>489</v>
      </c>
      <c r="E51" s="78" t="s">
        <v>490</v>
      </c>
      <c r="G51" s="2"/>
      <c r="L51" s="92" t="s">
        <v>576</v>
      </c>
      <c r="M51" s="93" t="s">
        <v>648</v>
      </c>
      <c r="N51" s="93" t="s">
        <v>489</v>
      </c>
      <c r="O51" s="94" t="s">
        <v>649</v>
      </c>
    </row>
    <row r="52" spans="2:15" ht="15.75" customHeight="1" x14ac:dyDescent="0.35">
      <c r="B52" s="75" t="s">
        <v>576</v>
      </c>
      <c r="C52" s="76" t="s">
        <v>650</v>
      </c>
      <c r="D52" s="77" t="s">
        <v>489</v>
      </c>
      <c r="E52" s="78" t="s">
        <v>490</v>
      </c>
      <c r="G52" s="2"/>
      <c r="L52" s="92" t="s">
        <v>576</v>
      </c>
      <c r="M52" s="93" t="s">
        <v>651</v>
      </c>
      <c r="N52" s="93" t="s">
        <v>468</v>
      </c>
      <c r="O52" s="94" t="s">
        <v>652</v>
      </c>
    </row>
    <row r="53" spans="2:15" ht="15.75" customHeight="1" x14ac:dyDescent="0.35">
      <c r="B53" s="75" t="s">
        <v>576</v>
      </c>
      <c r="C53" s="76" t="s">
        <v>653</v>
      </c>
      <c r="D53" s="77" t="s">
        <v>489</v>
      </c>
      <c r="E53" s="78" t="s">
        <v>490</v>
      </c>
      <c r="G53" s="2"/>
      <c r="L53" s="92" t="s">
        <v>576</v>
      </c>
      <c r="M53" s="93" t="s">
        <v>654</v>
      </c>
      <c r="N53" s="71" t="s">
        <v>464</v>
      </c>
      <c r="O53" s="94" t="s">
        <v>655</v>
      </c>
    </row>
    <row r="54" spans="2:15" ht="15.75" customHeight="1" x14ac:dyDescent="0.35">
      <c r="B54" s="75" t="s">
        <v>576</v>
      </c>
      <c r="C54" s="76" t="s">
        <v>653</v>
      </c>
      <c r="D54" s="77" t="s">
        <v>468</v>
      </c>
      <c r="E54" s="78" t="s">
        <v>656</v>
      </c>
      <c r="G54" s="2"/>
      <c r="L54" s="92" t="s">
        <v>576</v>
      </c>
      <c r="M54" s="93" t="s">
        <v>654</v>
      </c>
      <c r="N54" s="93" t="s">
        <v>468</v>
      </c>
      <c r="O54" s="94" t="s">
        <v>657</v>
      </c>
    </row>
    <row r="55" spans="2:15" ht="15.75" customHeight="1" x14ac:dyDescent="0.35">
      <c r="B55" s="75" t="s">
        <v>576</v>
      </c>
      <c r="C55" s="76" t="s">
        <v>658</v>
      </c>
      <c r="D55" s="77" t="s">
        <v>489</v>
      </c>
      <c r="E55" s="78" t="s">
        <v>490</v>
      </c>
      <c r="G55" s="2"/>
      <c r="L55" s="70" t="s">
        <v>581</v>
      </c>
      <c r="M55" s="71" t="s">
        <v>659</v>
      </c>
      <c r="N55" s="71" t="s">
        <v>489</v>
      </c>
      <c r="O55" s="72" t="s">
        <v>490</v>
      </c>
    </row>
    <row r="56" spans="2:15" ht="15.75" customHeight="1" x14ac:dyDescent="0.35">
      <c r="B56" s="75" t="s">
        <v>576</v>
      </c>
      <c r="C56" s="76" t="s">
        <v>660</v>
      </c>
      <c r="D56" s="77" t="s">
        <v>489</v>
      </c>
      <c r="E56" s="78" t="s">
        <v>490</v>
      </c>
      <c r="G56" s="2"/>
      <c r="L56" s="70" t="s">
        <v>581</v>
      </c>
      <c r="M56" s="71" t="s">
        <v>659</v>
      </c>
      <c r="N56" s="71" t="s">
        <v>464</v>
      </c>
      <c r="O56" s="72" t="s">
        <v>661</v>
      </c>
    </row>
    <row r="57" spans="2:15" ht="15.75" customHeight="1" x14ac:dyDescent="0.35">
      <c r="B57" s="75" t="s">
        <v>576</v>
      </c>
      <c r="C57" s="76" t="s">
        <v>660</v>
      </c>
      <c r="D57" s="77" t="s">
        <v>468</v>
      </c>
      <c r="E57" s="78" t="s">
        <v>662</v>
      </c>
      <c r="G57" s="2"/>
      <c r="L57" s="2"/>
    </row>
    <row r="58" spans="2:15" ht="15.75" customHeight="1" x14ac:dyDescent="0.35">
      <c r="B58" s="75" t="s">
        <v>576</v>
      </c>
      <c r="C58" s="76" t="s">
        <v>663</v>
      </c>
      <c r="D58" s="77" t="s">
        <v>489</v>
      </c>
      <c r="E58" s="78" t="s">
        <v>490</v>
      </c>
      <c r="G58" s="2"/>
      <c r="L58" s="2"/>
    </row>
    <row r="59" spans="2:15" ht="15.75" customHeight="1" x14ac:dyDescent="0.35">
      <c r="B59" s="75" t="s">
        <v>576</v>
      </c>
      <c r="C59" s="76" t="s">
        <v>664</v>
      </c>
      <c r="D59" s="77" t="s">
        <v>489</v>
      </c>
      <c r="E59" s="78" t="s">
        <v>490</v>
      </c>
      <c r="G59" s="2"/>
      <c r="L59" s="2"/>
    </row>
    <row r="60" spans="2:15" ht="15.75" customHeight="1" x14ac:dyDescent="0.35">
      <c r="B60" s="62" t="s">
        <v>581</v>
      </c>
      <c r="C60" s="63" t="s">
        <v>665</v>
      </c>
      <c r="D60" s="64" t="s">
        <v>489</v>
      </c>
      <c r="E60" s="65" t="s">
        <v>490</v>
      </c>
      <c r="G60" s="2"/>
      <c r="L60" s="2"/>
    </row>
    <row r="61" spans="2:15" ht="15.75" customHeight="1" x14ac:dyDescent="0.35">
      <c r="B61" s="62" t="s">
        <v>581</v>
      </c>
      <c r="C61" s="63" t="s">
        <v>665</v>
      </c>
      <c r="D61" s="64" t="s">
        <v>468</v>
      </c>
      <c r="E61" s="65" t="s">
        <v>666</v>
      </c>
      <c r="G61" s="2"/>
      <c r="L61" s="2"/>
    </row>
    <row r="62" spans="2:15" ht="15.75" customHeight="1" x14ac:dyDescent="0.35">
      <c r="B62" s="62" t="s">
        <v>581</v>
      </c>
      <c r="C62" s="63" t="s">
        <v>667</v>
      </c>
      <c r="D62" s="64" t="s">
        <v>489</v>
      </c>
      <c r="E62" s="65" t="s">
        <v>490</v>
      </c>
      <c r="G62" s="2"/>
      <c r="L62" s="2"/>
    </row>
    <row r="63" spans="2:15" ht="15.75" customHeight="1" x14ac:dyDescent="0.35">
      <c r="B63" s="62" t="s">
        <v>581</v>
      </c>
      <c r="C63" s="63" t="s">
        <v>668</v>
      </c>
      <c r="D63" s="64" t="s">
        <v>489</v>
      </c>
      <c r="E63" s="65" t="s">
        <v>490</v>
      </c>
      <c r="G63" s="2"/>
      <c r="L63" s="2"/>
    </row>
    <row r="64" spans="2:15" ht="15.75" customHeight="1" x14ac:dyDescent="0.35">
      <c r="B64" s="62" t="s">
        <v>581</v>
      </c>
      <c r="C64" s="63" t="s">
        <v>669</v>
      </c>
      <c r="D64" s="64" t="s">
        <v>489</v>
      </c>
      <c r="E64" s="65" t="s">
        <v>490</v>
      </c>
      <c r="G64" s="2"/>
      <c r="L64" s="2"/>
      <c r="O64" s="61"/>
    </row>
    <row r="65" spans="2:12" ht="15.75" customHeight="1" x14ac:dyDescent="0.35">
      <c r="B65" s="62" t="s">
        <v>581</v>
      </c>
      <c r="C65" s="63" t="s">
        <v>669</v>
      </c>
      <c r="D65" s="64" t="s">
        <v>468</v>
      </c>
      <c r="E65" s="65" t="s">
        <v>670</v>
      </c>
      <c r="G65" s="2"/>
      <c r="L65" s="2"/>
    </row>
    <row r="66" spans="2:12" ht="15.75" customHeight="1" x14ac:dyDescent="0.35">
      <c r="B66" s="62" t="s">
        <v>581</v>
      </c>
      <c r="C66" s="63" t="s">
        <v>669</v>
      </c>
      <c r="D66" s="64" t="s">
        <v>468</v>
      </c>
      <c r="E66" s="65" t="s">
        <v>671</v>
      </c>
      <c r="G66" s="2"/>
      <c r="L66" s="2"/>
    </row>
    <row r="67" spans="2:12" ht="15.75" customHeight="1" x14ac:dyDescent="0.35">
      <c r="B67" s="62" t="s">
        <v>581</v>
      </c>
      <c r="C67" s="63" t="s">
        <v>672</v>
      </c>
      <c r="D67" s="64" t="s">
        <v>489</v>
      </c>
      <c r="E67" s="65" t="s">
        <v>490</v>
      </c>
      <c r="G67" s="2"/>
      <c r="L67" s="2"/>
    </row>
    <row r="68" spans="2:12" ht="15.75" customHeight="1" x14ac:dyDescent="0.35">
      <c r="B68" s="62" t="s">
        <v>581</v>
      </c>
      <c r="C68" s="63" t="s">
        <v>672</v>
      </c>
      <c r="D68" s="64" t="s">
        <v>468</v>
      </c>
      <c r="E68" s="65" t="s">
        <v>673</v>
      </c>
      <c r="G68" s="2"/>
      <c r="L68" s="2"/>
    </row>
    <row r="69" spans="2:12" ht="15.75" customHeight="1" x14ac:dyDescent="0.35">
      <c r="B69" s="62" t="s">
        <v>581</v>
      </c>
      <c r="C69" s="63" t="s">
        <v>674</v>
      </c>
      <c r="D69" s="64" t="s">
        <v>489</v>
      </c>
      <c r="E69" s="65" t="s">
        <v>490</v>
      </c>
      <c r="G69" s="2"/>
      <c r="L69" s="2"/>
    </row>
    <row r="70" spans="2:12" ht="15.75" customHeight="1" x14ac:dyDescent="0.35">
      <c r="B70" s="62" t="s">
        <v>581</v>
      </c>
      <c r="C70" s="63" t="s">
        <v>674</v>
      </c>
      <c r="D70" s="64" t="s">
        <v>468</v>
      </c>
      <c r="E70" s="65" t="s">
        <v>675</v>
      </c>
      <c r="G70" s="2"/>
      <c r="L70" s="2"/>
    </row>
    <row r="71" spans="2:12" ht="15.75" customHeight="1" x14ac:dyDescent="0.35">
      <c r="B71" s="62" t="s">
        <v>581</v>
      </c>
      <c r="C71" s="63" t="s">
        <v>676</v>
      </c>
      <c r="D71" s="64" t="s">
        <v>489</v>
      </c>
      <c r="E71" s="65" t="s">
        <v>490</v>
      </c>
      <c r="G71" s="2"/>
      <c r="L71" s="2"/>
    </row>
    <row r="72" spans="2:12" ht="15.75" customHeight="1" x14ac:dyDescent="0.35">
      <c r="B72" s="62" t="s">
        <v>581</v>
      </c>
      <c r="C72" s="63" t="s">
        <v>677</v>
      </c>
      <c r="D72" s="64" t="s">
        <v>489</v>
      </c>
      <c r="E72" s="65" t="s">
        <v>490</v>
      </c>
      <c r="G72" s="2"/>
      <c r="L72" s="2"/>
    </row>
    <row r="73" spans="2:12" ht="15.75" customHeight="1" x14ac:dyDescent="0.35">
      <c r="B73" s="62" t="s">
        <v>581</v>
      </c>
      <c r="C73" s="63" t="s">
        <v>677</v>
      </c>
      <c r="D73" s="64" t="s">
        <v>468</v>
      </c>
      <c r="E73" s="65" t="s">
        <v>678</v>
      </c>
      <c r="G73" s="2"/>
      <c r="L73" s="2"/>
    </row>
    <row r="74" spans="2:12" ht="15.75" customHeight="1" x14ac:dyDescent="0.35">
      <c r="G74" s="2"/>
      <c r="L74" s="2"/>
    </row>
    <row r="75" spans="2:12" ht="15.75" customHeight="1" x14ac:dyDescent="0.35">
      <c r="G75" s="2"/>
      <c r="L75" s="2"/>
    </row>
    <row r="76" spans="2:12" ht="15.75" customHeight="1" x14ac:dyDescent="0.35">
      <c r="G76" s="2"/>
      <c r="L76" s="2"/>
    </row>
    <row r="77" spans="2:12" ht="15.75" customHeight="1" x14ac:dyDescent="0.35">
      <c r="G77" s="2"/>
      <c r="L77" s="2"/>
    </row>
    <row r="78" spans="2:12" ht="15.75" customHeight="1" x14ac:dyDescent="0.35">
      <c r="G78" s="2"/>
      <c r="L78" s="2"/>
    </row>
    <row r="79" spans="2:12" ht="15.75" customHeight="1" x14ac:dyDescent="0.35">
      <c r="G79" s="2"/>
      <c r="L79" s="2"/>
    </row>
    <row r="80" spans="2:12" ht="15.75" customHeight="1" x14ac:dyDescent="0.35">
      <c r="G80" s="2"/>
      <c r="L80" s="2"/>
    </row>
    <row r="81" spans="7:12" ht="15.75" customHeight="1" x14ac:dyDescent="0.35">
      <c r="G81" s="2"/>
      <c r="L81" s="2"/>
    </row>
    <row r="82" spans="7:12" ht="15.75" customHeight="1" x14ac:dyDescent="0.35">
      <c r="G82" s="2"/>
      <c r="L82" s="2"/>
    </row>
    <row r="83" spans="7:12" ht="15.75" customHeight="1" x14ac:dyDescent="0.35">
      <c r="G83" s="2"/>
      <c r="L83" s="2"/>
    </row>
    <row r="84" spans="7:12" ht="15.75" customHeight="1" x14ac:dyDescent="0.35">
      <c r="G84" s="2"/>
      <c r="L84" s="2"/>
    </row>
    <row r="85" spans="7:12" ht="15.75" customHeight="1" x14ac:dyDescent="0.35">
      <c r="G85" s="2"/>
      <c r="L85" s="2"/>
    </row>
    <row r="86" spans="7:12" ht="15.75" customHeight="1" x14ac:dyDescent="0.35">
      <c r="G86" s="2"/>
      <c r="L86" s="2"/>
    </row>
    <row r="87" spans="7:12" ht="15.75" customHeight="1" x14ac:dyDescent="0.35">
      <c r="G87" s="2"/>
      <c r="L87" s="2"/>
    </row>
    <row r="88" spans="7:12" ht="15.75" customHeight="1" x14ac:dyDescent="0.35">
      <c r="G88" s="2"/>
      <c r="L88" s="2"/>
    </row>
    <row r="89" spans="7:12" ht="15.75" customHeight="1" x14ac:dyDescent="0.35">
      <c r="G89" s="2"/>
      <c r="L89" s="2"/>
    </row>
    <row r="90" spans="7:12" ht="15.75" customHeight="1" x14ac:dyDescent="0.35">
      <c r="G90" s="2"/>
      <c r="L90" s="2"/>
    </row>
    <row r="91" spans="7:12" ht="15.75" customHeight="1" x14ac:dyDescent="0.35">
      <c r="G91" s="2"/>
      <c r="L91" s="2"/>
    </row>
    <row r="92" spans="7:12" ht="15.75" customHeight="1" x14ac:dyDescent="0.35">
      <c r="G92" s="2"/>
      <c r="L92" s="2"/>
    </row>
    <row r="93" spans="7:12" ht="15.75" customHeight="1" x14ac:dyDescent="0.35">
      <c r="G93" s="2"/>
      <c r="L93" s="2"/>
    </row>
    <row r="94" spans="7:12" ht="15.75" customHeight="1" x14ac:dyDescent="0.35">
      <c r="G94" s="2"/>
      <c r="L94" s="2"/>
    </row>
    <row r="95" spans="7:12" ht="15.75" customHeight="1" x14ac:dyDescent="0.35">
      <c r="G95" s="2"/>
      <c r="L95" s="2"/>
    </row>
    <row r="96" spans="7:12" ht="15.75" customHeight="1" x14ac:dyDescent="0.35">
      <c r="G96" s="2"/>
      <c r="L96" s="2"/>
    </row>
    <row r="97" spans="7:12" ht="15.75" customHeight="1" x14ac:dyDescent="0.35">
      <c r="G97" s="2"/>
      <c r="L97" s="2"/>
    </row>
    <row r="98" spans="7:12" ht="15.75" customHeight="1" x14ac:dyDescent="0.35">
      <c r="G98" s="2"/>
      <c r="L98" s="2"/>
    </row>
    <row r="99" spans="7:12" ht="15.75" customHeight="1" x14ac:dyDescent="0.35">
      <c r="G99" s="2"/>
      <c r="L99" s="2"/>
    </row>
    <row r="100" spans="7:12" ht="15.75" customHeight="1" x14ac:dyDescent="0.35">
      <c r="G100" s="2"/>
      <c r="L100" s="2"/>
    </row>
    <row r="101" spans="7:12" ht="15.75" customHeight="1" x14ac:dyDescent="0.35">
      <c r="G101" s="2"/>
      <c r="L101" s="2"/>
    </row>
    <row r="102" spans="7:12" ht="15.75" customHeight="1" x14ac:dyDescent="0.35">
      <c r="G102" s="2"/>
      <c r="L102" s="2"/>
    </row>
    <row r="103" spans="7:12" ht="15.75" customHeight="1" x14ac:dyDescent="0.35">
      <c r="G103" s="2"/>
      <c r="L103" s="2"/>
    </row>
    <row r="104" spans="7:12" ht="15.75" customHeight="1" x14ac:dyDescent="0.35">
      <c r="G104" s="2"/>
      <c r="L104" s="2"/>
    </row>
    <row r="105" spans="7:12" ht="15.75" customHeight="1" x14ac:dyDescent="0.35">
      <c r="G105" s="2"/>
      <c r="L105" s="2"/>
    </row>
    <row r="106" spans="7:12" ht="15.75" customHeight="1" x14ac:dyDescent="0.35">
      <c r="G106" s="2"/>
      <c r="L106" s="2"/>
    </row>
    <row r="107" spans="7:12" ht="15.75" customHeight="1" x14ac:dyDescent="0.35">
      <c r="G107" s="2"/>
      <c r="L107" s="2"/>
    </row>
    <row r="108" spans="7:12" ht="15.75" customHeight="1" x14ac:dyDescent="0.35">
      <c r="G108" s="2"/>
      <c r="L108" s="2"/>
    </row>
    <row r="109" spans="7:12" ht="15.75" customHeight="1" x14ac:dyDescent="0.35">
      <c r="G109" s="2"/>
      <c r="L109" s="2"/>
    </row>
    <row r="110" spans="7:12" ht="15.75" customHeight="1" x14ac:dyDescent="0.35">
      <c r="G110" s="2"/>
      <c r="L110" s="2"/>
    </row>
    <row r="111" spans="7:12" ht="15.75" customHeight="1" x14ac:dyDescent="0.35">
      <c r="G111" s="2"/>
      <c r="L111" s="2"/>
    </row>
    <row r="112" spans="7:12" ht="15.75" customHeight="1" x14ac:dyDescent="0.35">
      <c r="G112" s="2"/>
      <c r="L112" s="2"/>
    </row>
    <row r="113" spans="7:12" ht="15.75" customHeight="1" x14ac:dyDescent="0.35">
      <c r="G113" s="2"/>
      <c r="L113" s="2"/>
    </row>
    <row r="114" spans="7:12" ht="15.75" customHeight="1" x14ac:dyDescent="0.35">
      <c r="G114" s="2"/>
      <c r="L114" s="2"/>
    </row>
    <row r="115" spans="7:12" ht="15.75" customHeight="1" x14ac:dyDescent="0.35">
      <c r="G115" s="2"/>
      <c r="L115" s="2"/>
    </row>
    <row r="116" spans="7:12" ht="15.75" customHeight="1" x14ac:dyDescent="0.35">
      <c r="G116" s="2"/>
      <c r="L116" s="2"/>
    </row>
    <row r="117" spans="7:12" ht="15.75" customHeight="1" x14ac:dyDescent="0.35">
      <c r="G117" s="2"/>
      <c r="L117" s="2"/>
    </row>
    <row r="118" spans="7:12" ht="15.75" customHeight="1" x14ac:dyDescent="0.35">
      <c r="G118" s="2"/>
      <c r="L118" s="2"/>
    </row>
    <row r="119" spans="7:12" ht="15.75" customHeight="1" x14ac:dyDescent="0.35">
      <c r="G119" s="2"/>
      <c r="L119" s="2"/>
    </row>
    <row r="120" spans="7:12" ht="15.75" customHeight="1" x14ac:dyDescent="0.35">
      <c r="G120" s="2"/>
      <c r="L120" s="2"/>
    </row>
    <row r="121" spans="7:12" ht="15.75" customHeight="1" x14ac:dyDescent="0.35">
      <c r="G121" s="2"/>
      <c r="L121" s="2"/>
    </row>
    <row r="122" spans="7:12" ht="15.75" customHeight="1" x14ac:dyDescent="0.35">
      <c r="G122" s="2"/>
      <c r="L122" s="2"/>
    </row>
    <row r="123" spans="7:12" ht="15.75" customHeight="1" x14ac:dyDescent="0.35">
      <c r="G123" s="2"/>
      <c r="L123" s="2"/>
    </row>
    <row r="124" spans="7:12" ht="15.75" customHeight="1" x14ac:dyDescent="0.35">
      <c r="G124" s="2"/>
      <c r="L124" s="2"/>
    </row>
    <row r="125" spans="7:12" ht="15.75" customHeight="1" x14ac:dyDescent="0.35">
      <c r="G125" s="2"/>
      <c r="L125" s="2"/>
    </row>
    <row r="126" spans="7:12" ht="15.75" customHeight="1" x14ac:dyDescent="0.35">
      <c r="G126" s="2"/>
      <c r="L126" s="2"/>
    </row>
    <row r="127" spans="7:12" ht="15.75" customHeight="1" x14ac:dyDescent="0.35">
      <c r="G127" s="2"/>
      <c r="L127" s="2"/>
    </row>
    <row r="128" spans="7:12" ht="15.75" customHeight="1" x14ac:dyDescent="0.35">
      <c r="G128" s="2"/>
      <c r="L128" s="2"/>
    </row>
    <row r="129" spans="7:12" ht="15.75" customHeight="1" x14ac:dyDescent="0.35">
      <c r="G129" s="2"/>
      <c r="L129" s="2"/>
    </row>
    <row r="130" spans="7:12" ht="15.75" customHeight="1" x14ac:dyDescent="0.35">
      <c r="G130" s="2"/>
      <c r="L130" s="2"/>
    </row>
    <row r="131" spans="7:12" ht="15.75" customHeight="1" x14ac:dyDescent="0.35">
      <c r="G131" s="2"/>
      <c r="L131" s="2"/>
    </row>
    <row r="132" spans="7:12" ht="15.75" customHeight="1" x14ac:dyDescent="0.35">
      <c r="G132" s="2"/>
      <c r="L132" s="2"/>
    </row>
    <row r="133" spans="7:12" ht="15.75" customHeight="1" x14ac:dyDescent="0.35">
      <c r="G133" s="2"/>
      <c r="L133" s="2"/>
    </row>
    <row r="134" spans="7:12" ht="15.75" customHeight="1" x14ac:dyDescent="0.35">
      <c r="G134" s="2"/>
      <c r="L134" s="2"/>
    </row>
    <row r="135" spans="7:12" ht="15.75" customHeight="1" x14ac:dyDescent="0.35">
      <c r="G135" s="2"/>
      <c r="L135" s="2"/>
    </row>
    <row r="136" spans="7:12" ht="15.75" customHeight="1" x14ac:dyDescent="0.35">
      <c r="G136" s="2"/>
      <c r="L136" s="2"/>
    </row>
    <row r="137" spans="7:12" ht="15.75" customHeight="1" x14ac:dyDescent="0.35">
      <c r="G137" s="2"/>
      <c r="L137" s="2"/>
    </row>
    <row r="138" spans="7:12" ht="15.75" customHeight="1" x14ac:dyDescent="0.35">
      <c r="G138" s="2"/>
      <c r="L138" s="2"/>
    </row>
    <row r="139" spans="7:12" ht="15.75" customHeight="1" x14ac:dyDescent="0.35">
      <c r="G139" s="2"/>
      <c r="L139" s="2"/>
    </row>
    <row r="140" spans="7:12" ht="15.75" customHeight="1" x14ac:dyDescent="0.35">
      <c r="G140" s="2"/>
      <c r="L140" s="2"/>
    </row>
    <row r="141" spans="7:12" ht="15.75" customHeight="1" x14ac:dyDescent="0.35">
      <c r="G141" s="2"/>
      <c r="L141" s="2"/>
    </row>
    <row r="142" spans="7:12" ht="15.75" customHeight="1" x14ac:dyDescent="0.35">
      <c r="G142" s="2"/>
      <c r="L142" s="2"/>
    </row>
    <row r="143" spans="7:12" ht="15.75" customHeight="1" x14ac:dyDescent="0.35">
      <c r="G143" s="2"/>
      <c r="L143" s="2"/>
    </row>
    <row r="144" spans="7:12" ht="15.75" customHeight="1" x14ac:dyDescent="0.35">
      <c r="G144" s="2"/>
      <c r="L144" s="2"/>
    </row>
    <row r="145" spans="7:12" ht="15.75" customHeight="1" x14ac:dyDescent="0.35">
      <c r="G145" s="2"/>
      <c r="L145" s="2"/>
    </row>
    <row r="146" spans="7:12" ht="15.75" customHeight="1" x14ac:dyDescent="0.35">
      <c r="G146" s="2"/>
      <c r="L146" s="2"/>
    </row>
    <row r="147" spans="7:12" ht="15.75" customHeight="1" x14ac:dyDescent="0.35">
      <c r="G147" s="2"/>
      <c r="L147" s="2"/>
    </row>
    <row r="148" spans="7:12" ht="15.75" customHeight="1" x14ac:dyDescent="0.35">
      <c r="G148" s="2"/>
      <c r="L148" s="2"/>
    </row>
    <row r="149" spans="7:12" ht="15.75" customHeight="1" x14ac:dyDescent="0.35">
      <c r="G149" s="2"/>
      <c r="L149" s="2"/>
    </row>
    <row r="150" spans="7:12" ht="15.75" customHeight="1" x14ac:dyDescent="0.35">
      <c r="G150" s="2"/>
      <c r="L150" s="2"/>
    </row>
    <row r="151" spans="7:12" ht="15.75" customHeight="1" x14ac:dyDescent="0.35">
      <c r="G151" s="2"/>
      <c r="L151" s="2"/>
    </row>
    <row r="152" spans="7:12" ht="15.75" customHeight="1" x14ac:dyDescent="0.35">
      <c r="G152" s="2"/>
      <c r="L152" s="2"/>
    </row>
    <row r="153" spans="7:12" ht="15.75" customHeight="1" x14ac:dyDescent="0.35">
      <c r="G153" s="2"/>
      <c r="L153" s="2"/>
    </row>
    <row r="154" spans="7:12" ht="15.75" customHeight="1" x14ac:dyDescent="0.35">
      <c r="G154" s="2"/>
      <c r="L154" s="2"/>
    </row>
    <row r="155" spans="7:12" ht="15.75" customHeight="1" x14ac:dyDescent="0.35">
      <c r="G155" s="2"/>
      <c r="L155" s="2"/>
    </row>
    <row r="156" spans="7:12" ht="15.75" customHeight="1" x14ac:dyDescent="0.35">
      <c r="G156" s="2"/>
      <c r="L156" s="2"/>
    </row>
    <row r="157" spans="7:12" ht="15.75" customHeight="1" x14ac:dyDescent="0.35">
      <c r="G157" s="2"/>
      <c r="L157" s="2"/>
    </row>
    <row r="158" spans="7:12" ht="15.75" customHeight="1" x14ac:dyDescent="0.35">
      <c r="G158" s="2"/>
      <c r="L158" s="2"/>
    </row>
    <row r="159" spans="7:12" ht="15.75" customHeight="1" x14ac:dyDescent="0.35">
      <c r="G159" s="2"/>
      <c r="L159" s="2"/>
    </row>
    <row r="160" spans="7:12" ht="15.75" customHeight="1" x14ac:dyDescent="0.35">
      <c r="G160" s="2"/>
      <c r="L160" s="2"/>
    </row>
    <row r="161" spans="7:12" ht="15.75" customHeight="1" x14ac:dyDescent="0.35">
      <c r="G161" s="2"/>
      <c r="L161" s="2"/>
    </row>
    <row r="162" spans="7:12" ht="15.75" customHeight="1" x14ac:dyDescent="0.35">
      <c r="G162" s="2"/>
      <c r="L162" s="2"/>
    </row>
    <row r="163" spans="7:12" ht="15.75" customHeight="1" x14ac:dyDescent="0.35">
      <c r="G163" s="2"/>
      <c r="L163" s="2"/>
    </row>
    <row r="164" spans="7:12" ht="15.75" customHeight="1" x14ac:dyDescent="0.35">
      <c r="G164" s="2"/>
      <c r="L164" s="2"/>
    </row>
    <row r="165" spans="7:12" ht="15.75" customHeight="1" x14ac:dyDescent="0.35">
      <c r="G165" s="2"/>
      <c r="L165" s="2"/>
    </row>
    <row r="166" spans="7:12" ht="15.75" customHeight="1" x14ac:dyDescent="0.35">
      <c r="G166" s="2"/>
      <c r="L166" s="2"/>
    </row>
    <row r="167" spans="7:12" ht="15.75" customHeight="1" x14ac:dyDescent="0.35">
      <c r="G167" s="2"/>
      <c r="L167" s="2"/>
    </row>
    <row r="168" spans="7:12" ht="15.75" customHeight="1" x14ac:dyDescent="0.35">
      <c r="G168" s="2"/>
      <c r="L168" s="2"/>
    </row>
    <row r="169" spans="7:12" ht="15.75" customHeight="1" x14ac:dyDescent="0.35">
      <c r="G169" s="2"/>
      <c r="L169" s="2"/>
    </row>
    <row r="170" spans="7:12" ht="15.75" customHeight="1" x14ac:dyDescent="0.35">
      <c r="G170" s="2"/>
      <c r="L170" s="2"/>
    </row>
    <row r="171" spans="7:12" ht="15.75" customHeight="1" x14ac:dyDescent="0.35">
      <c r="G171" s="2"/>
      <c r="L171" s="2"/>
    </row>
    <row r="172" spans="7:12" ht="15.75" customHeight="1" x14ac:dyDescent="0.35">
      <c r="G172" s="2"/>
      <c r="L172" s="2"/>
    </row>
    <row r="173" spans="7:12" ht="15.75" customHeight="1" x14ac:dyDescent="0.35">
      <c r="G173" s="2"/>
      <c r="L173" s="2"/>
    </row>
    <row r="174" spans="7:12" ht="15.75" customHeight="1" x14ac:dyDescent="0.35">
      <c r="G174" s="2"/>
      <c r="L174" s="2"/>
    </row>
    <row r="175" spans="7:12" ht="15.75" customHeight="1" x14ac:dyDescent="0.35">
      <c r="G175" s="2"/>
      <c r="L175" s="2"/>
    </row>
    <row r="176" spans="7:12" ht="15.75" customHeight="1" x14ac:dyDescent="0.35">
      <c r="G176" s="2"/>
      <c r="L176" s="2"/>
    </row>
    <row r="177" spans="7:12" ht="15.75" customHeight="1" x14ac:dyDescent="0.35">
      <c r="G177" s="2"/>
      <c r="L177" s="2"/>
    </row>
    <row r="178" spans="7:12" ht="15.75" customHeight="1" x14ac:dyDescent="0.35">
      <c r="G178" s="2"/>
      <c r="L178" s="2"/>
    </row>
    <row r="179" spans="7:12" ht="15.75" customHeight="1" x14ac:dyDescent="0.35">
      <c r="G179" s="2"/>
      <c r="L179" s="2"/>
    </row>
    <row r="180" spans="7:12" ht="15.75" customHeight="1" x14ac:dyDescent="0.35">
      <c r="G180" s="2"/>
      <c r="L180" s="2"/>
    </row>
    <row r="181" spans="7:12" ht="15.75" customHeight="1" x14ac:dyDescent="0.35">
      <c r="G181" s="2"/>
      <c r="L181" s="2"/>
    </row>
    <row r="182" spans="7:12" ht="15.75" customHeight="1" x14ac:dyDescent="0.35">
      <c r="G182" s="2"/>
      <c r="L182" s="2"/>
    </row>
    <row r="183" spans="7:12" ht="15.75" customHeight="1" x14ac:dyDescent="0.35">
      <c r="G183" s="2"/>
      <c r="L183" s="2"/>
    </row>
    <row r="184" spans="7:12" ht="15.75" customHeight="1" x14ac:dyDescent="0.35">
      <c r="G184" s="2"/>
      <c r="L184" s="2"/>
    </row>
    <row r="185" spans="7:12" ht="15.75" customHeight="1" x14ac:dyDescent="0.35">
      <c r="G185" s="2"/>
      <c r="L185" s="2"/>
    </row>
    <row r="186" spans="7:12" ht="15.75" customHeight="1" x14ac:dyDescent="0.35">
      <c r="G186" s="2"/>
      <c r="L186" s="2"/>
    </row>
    <row r="187" spans="7:12" ht="15.75" customHeight="1" x14ac:dyDescent="0.35">
      <c r="G187" s="2"/>
      <c r="L187" s="2"/>
    </row>
    <row r="188" spans="7:12" ht="15.75" customHeight="1" x14ac:dyDescent="0.35">
      <c r="G188" s="2"/>
      <c r="L188" s="2"/>
    </row>
    <row r="189" spans="7:12" ht="15.75" customHeight="1" x14ac:dyDescent="0.35">
      <c r="G189" s="2"/>
      <c r="L189" s="2"/>
    </row>
    <row r="190" spans="7:12" ht="15.75" customHeight="1" x14ac:dyDescent="0.35">
      <c r="G190" s="2"/>
      <c r="L190" s="2"/>
    </row>
    <row r="191" spans="7:12" ht="15.75" customHeight="1" x14ac:dyDescent="0.35">
      <c r="G191" s="2"/>
      <c r="L191" s="2"/>
    </row>
    <row r="192" spans="7:12" ht="15.75" customHeight="1" x14ac:dyDescent="0.35">
      <c r="G192" s="2"/>
      <c r="L192" s="2"/>
    </row>
    <row r="193" spans="7:12" ht="15.75" customHeight="1" x14ac:dyDescent="0.35">
      <c r="G193" s="2"/>
      <c r="L193" s="2"/>
    </row>
    <row r="194" spans="7:12" ht="15.75" customHeight="1" x14ac:dyDescent="0.35">
      <c r="G194" s="2"/>
      <c r="L194" s="2"/>
    </row>
    <row r="195" spans="7:12" ht="15.75" customHeight="1" x14ac:dyDescent="0.35">
      <c r="G195" s="2"/>
      <c r="L195" s="2"/>
    </row>
    <row r="196" spans="7:12" ht="15.75" customHeight="1" x14ac:dyDescent="0.35">
      <c r="G196" s="2"/>
      <c r="L196" s="2"/>
    </row>
    <row r="197" spans="7:12" ht="15.75" customHeight="1" x14ac:dyDescent="0.35">
      <c r="G197" s="2"/>
      <c r="L197" s="2"/>
    </row>
    <row r="198" spans="7:12" ht="15.75" customHeight="1" x14ac:dyDescent="0.35">
      <c r="G198" s="2"/>
      <c r="L198" s="2"/>
    </row>
    <row r="199" spans="7:12" ht="15.75" customHeight="1" x14ac:dyDescent="0.35">
      <c r="G199" s="2"/>
      <c r="L199" s="2"/>
    </row>
    <row r="200" spans="7:12" ht="15.75" customHeight="1" x14ac:dyDescent="0.35">
      <c r="G200" s="2"/>
      <c r="L200" s="2"/>
    </row>
    <row r="201" spans="7:12" ht="15.75" customHeight="1" x14ac:dyDescent="0.35">
      <c r="G201" s="2"/>
      <c r="L201" s="2"/>
    </row>
    <row r="202" spans="7:12" ht="15.75" customHeight="1" x14ac:dyDescent="0.35">
      <c r="G202" s="2"/>
      <c r="L202" s="2"/>
    </row>
    <row r="203" spans="7:12" ht="15.75" customHeight="1" x14ac:dyDescent="0.35">
      <c r="G203" s="2"/>
      <c r="L203" s="2"/>
    </row>
    <row r="204" spans="7:12" ht="15.75" customHeight="1" x14ac:dyDescent="0.35">
      <c r="G204" s="2"/>
      <c r="L204" s="2"/>
    </row>
    <row r="205" spans="7:12" ht="15.75" customHeight="1" x14ac:dyDescent="0.35">
      <c r="G205" s="2"/>
      <c r="L205" s="2"/>
    </row>
    <row r="206" spans="7:12" ht="15.75" customHeight="1" x14ac:dyDescent="0.35">
      <c r="G206" s="2"/>
      <c r="L206" s="2"/>
    </row>
    <row r="207" spans="7:12" ht="15.75" customHeight="1" x14ac:dyDescent="0.35">
      <c r="G207" s="2"/>
      <c r="L207" s="2"/>
    </row>
    <row r="208" spans="7:12" ht="15.75" customHeight="1" x14ac:dyDescent="0.35">
      <c r="G208" s="2"/>
      <c r="L208" s="2"/>
    </row>
    <row r="209" spans="7:12" ht="15.75" customHeight="1" x14ac:dyDescent="0.35">
      <c r="G209" s="2"/>
      <c r="L209" s="2"/>
    </row>
    <row r="210" spans="7:12" ht="15.75" customHeight="1" x14ac:dyDescent="0.35">
      <c r="G210" s="2"/>
      <c r="L210" s="2"/>
    </row>
    <row r="211" spans="7:12" ht="15.75" customHeight="1" x14ac:dyDescent="0.35">
      <c r="G211" s="2"/>
      <c r="L211" s="2"/>
    </row>
    <row r="212" spans="7:12" ht="15.75" customHeight="1" x14ac:dyDescent="0.35">
      <c r="G212" s="2"/>
      <c r="L212" s="2"/>
    </row>
    <row r="213" spans="7:12" ht="15.75" customHeight="1" x14ac:dyDescent="0.35">
      <c r="G213" s="2"/>
      <c r="L213" s="2"/>
    </row>
    <row r="214" spans="7:12" ht="15.75" customHeight="1" x14ac:dyDescent="0.35">
      <c r="G214" s="2"/>
      <c r="L214" s="2"/>
    </row>
    <row r="215" spans="7:12" ht="15.75" customHeight="1" x14ac:dyDescent="0.35">
      <c r="G215" s="2"/>
      <c r="L215" s="2"/>
    </row>
    <row r="216" spans="7:12" ht="15.75" customHeight="1" x14ac:dyDescent="0.35">
      <c r="G216" s="2"/>
      <c r="L216" s="2"/>
    </row>
    <row r="217" spans="7:12" ht="15.75" customHeight="1" x14ac:dyDescent="0.35">
      <c r="G217" s="2"/>
      <c r="L217" s="2"/>
    </row>
    <row r="218" spans="7:12" ht="15.75" customHeight="1" x14ac:dyDescent="0.35">
      <c r="G218" s="2"/>
      <c r="L218" s="2"/>
    </row>
    <row r="219" spans="7:12" ht="15.75" customHeight="1" x14ac:dyDescent="0.35">
      <c r="G219" s="2"/>
      <c r="L219" s="2"/>
    </row>
    <row r="220" spans="7:12" ht="15.75" customHeight="1" x14ac:dyDescent="0.35">
      <c r="G220" s="2"/>
      <c r="L220" s="2"/>
    </row>
    <row r="221" spans="7:12" ht="15.75" customHeight="1" x14ac:dyDescent="0.35">
      <c r="G221" s="2"/>
      <c r="L221" s="2"/>
    </row>
    <row r="222" spans="7:12" ht="15.75" customHeight="1" x14ac:dyDescent="0.35">
      <c r="G222" s="2"/>
      <c r="L222" s="2"/>
    </row>
    <row r="223" spans="7:12" ht="15.75" customHeight="1" x14ac:dyDescent="0.35">
      <c r="G223" s="2"/>
      <c r="L223" s="2"/>
    </row>
    <row r="224" spans="7:12" ht="15.75" customHeight="1" x14ac:dyDescent="0.35">
      <c r="G224" s="2"/>
      <c r="L224" s="2"/>
    </row>
    <row r="225" spans="7:12" ht="15.75" customHeight="1" x14ac:dyDescent="0.35">
      <c r="G225" s="2"/>
      <c r="L225" s="2"/>
    </row>
    <row r="226" spans="7:12" ht="15.75" customHeight="1" x14ac:dyDescent="0.35">
      <c r="G226" s="2"/>
      <c r="L226" s="2"/>
    </row>
    <row r="227" spans="7:12" ht="15.75" customHeight="1" x14ac:dyDescent="0.35">
      <c r="G227" s="2"/>
      <c r="L227" s="2"/>
    </row>
    <row r="228" spans="7:12" ht="15.75" customHeight="1" x14ac:dyDescent="0.35">
      <c r="G228" s="2"/>
      <c r="L228" s="2"/>
    </row>
    <row r="229" spans="7:12" ht="15.75" customHeight="1" x14ac:dyDescent="0.35">
      <c r="G229" s="2"/>
      <c r="L229" s="2"/>
    </row>
    <row r="230" spans="7:12" ht="15.75" customHeight="1" x14ac:dyDescent="0.35">
      <c r="G230" s="2"/>
      <c r="L230" s="2"/>
    </row>
    <row r="231" spans="7:12" ht="15.75" customHeight="1" x14ac:dyDescent="0.35">
      <c r="G231" s="2"/>
      <c r="L231" s="2"/>
    </row>
    <row r="232" spans="7:12" ht="15.75" customHeight="1" x14ac:dyDescent="0.35">
      <c r="G232" s="2"/>
      <c r="L232" s="2"/>
    </row>
    <row r="233" spans="7:12" ht="15.75" customHeight="1" x14ac:dyDescent="0.35">
      <c r="G233" s="2"/>
      <c r="L233" s="2"/>
    </row>
    <row r="234" spans="7:12" ht="15.75" customHeight="1" x14ac:dyDescent="0.35">
      <c r="G234" s="2"/>
      <c r="L234" s="2"/>
    </row>
    <row r="235" spans="7:12" ht="15.75" customHeight="1" x14ac:dyDescent="0.35">
      <c r="G235" s="2"/>
      <c r="L235" s="2"/>
    </row>
    <row r="236" spans="7:12" ht="15.75" customHeight="1" x14ac:dyDescent="0.35">
      <c r="G236" s="2"/>
      <c r="L236" s="2"/>
    </row>
    <row r="237" spans="7:12" ht="15.75" customHeight="1" x14ac:dyDescent="0.35">
      <c r="G237" s="2"/>
      <c r="L237" s="2"/>
    </row>
    <row r="238" spans="7:12" ht="15.75" customHeight="1" x14ac:dyDescent="0.35">
      <c r="G238" s="2"/>
      <c r="L238" s="2"/>
    </row>
    <row r="239" spans="7:12" ht="15.75" customHeight="1" x14ac:dyDescent="0.35">
      <c r="G239" s="2"/>
      <c r="L239" s="2"/>
    </row>
    <row r="240" spans="7:12" ht="15.75" customHeight="1" x14ac:dyDescent="0.35">
      <c r="G240" s="2"/>
      <c r="L240" s="2"/>
    </row>
    <row r="241" spans="7:12" ht="15.75" customHeight="1" x14ac:dyDescent="0.35">
      <c r="G241" s="2"/>
      <c r="L241" s="2"/>
    </row>
    <row r="242" spans="7:12" ht="15.75" customHeight="1" x14ac:dyDescent="0.35">
      <c r="G242" s="2"/>
      <c r="L242" s="2"/>
    </row>
    <row r="243" spans="7:12" ht="15.75" customHeight="1" x14ac:dyDescent="0.35">
      <c r="G243" s="2"/>
      <c r="L243" s="2"/>
    </row>
    <row r="244" spans="7:12" ht="15.75" customHeight="1" x14ac:dyDescent="0.35">
      <c r="G244" s="2"/>
      <c r="L244" s="2"/>
    </row>
    <row r="245" spans="7:12" ht="15.75" customHeight="1" x14ac:dyDescent="0.35">
      <c r="G245" s="2"/>
      <c r="L245" s="2"/>
    </row>
    <row r="246" spans="7:12" ht="15.75" customHeight="1" x14ac:dyDescent="0.35">
      <c r="G246" s="2"/>
      <c r="L246" s="2"/>
    </row>
    <row r="247" spans="7:12" ht="15.75" customHeight="1" x14ac:dyDescent="0.35">
      <c r="G247" s="2"/>
      <c r="L247" s="2"/>
    </row>
    <row r="248" spans="7:12" ht="15.75" customHeight="1" x14ac:dyDescent="0.35">
      <c r="G248" s="2"/>
      <c r="L248" s="2"/>
    </row>
    <row r="249" spans="7:12" ht="15.75" customHeight="1" x14ac:dyDescent="0.35">
      <c r="G249" s="2"/>
      <c r="L249" s="2"/>
    </row>
    <row r="250" spans="7:12" ht="15.75" customHeight="1" x14ac:dyDescent="0.35">
      <c r="G250" s="2"/>
      <c r="L250" s="2"/>
    </row>
    <row r="251" spans="7:12" ht="15.75" customHeight="1" x14ac:dyDescent="0.35">
      <c r="G251" s="2"/>
      <c r="L251" s="2"/>
    </row>
    <row r="252" spans="7:12" ht="15.75" customHeight="1" x14ac:dyDescent="0.35">
      <c r="G252" s="2"/>
      <c r="L252" s="2"/>
    </row>
    <row r="253" spans="7:12" ht="15.75" customHeight="1" x14ac:dyDescent="0.35">
      <c r="G253" s="2"/>
      <c r="L253" s="2"/>
    </row>
    <row r="254" spans="7:12" ht="15.75" customHeight="1" x14ac:dyDescent="0.35">
      <c r="G254" s="2"/>
      <c r="L254" s="2"/>
    </row>
    <row r="255" spans="7:12" ht="15.75" customHeight="1" x14ac:dyDescent="0.35">
      <c r="G255" s="2"/>
      <c r="L255" s="2"/>
    </row>
    <row r="256" spans="7:12" ht="15.75" customHeight="1" x14ac:dyDescent="0.35">
      <c r="G256" s="2"/>
      <c r="L256" s="2"/>
    </row>
    <row r="257" spans="7:12" ht="15.75" customHeight="1" x14ac:dyDescent="0.35">
      <c r="G257" s="2"/>
      <c r="L257" s="2"/>
    </row>
    <row r="258" spans="7:12" ht="15.75" customHeight="1" x14ac:dyDescent="0.35">
      <c r="G258" s="2"/>
      <c r="L258" s="2"/>
    </row>
    <row r="259" spans="7:12" ht="15.75" customHeight="1" x14ac:dyDescent="0.35">
      <c r="G259" s="2"/>
      <c r="L259" s="2"/>
    </row>
    <row r="260" spans="7:12" ht="15.75" customHeight="1" x14ac:dyDescent="0.35">
      <c r="G260" s="2"/>
      <c r="L260" s="2"/>
    </row>
    <row r="261" spans="7:12" ht="15.75" customHeight="1" x14ac:dyDescent="0.35">
      <c r="G261" s="2"/>
      <c r="L261" s="2"/>
    </row>
    <row r="262" spans="7:12" ht="15.75" customHeight="1" x14ac:dyDescent="0.35">
      <c r="G262" s="2"/>
      <c r="L262" s="2"/>
    </row>
    <row r="263" spans="7:12" ht="15.75" customHeight="1" x14ac:dyDescent="0.35">
      <c r="G263" s="2"/>
      <c r="L263" s="2"/>
    </row>
    <row r="264" spans="7:12" ht="15.75" customHeight="1" x14ac:dyDescent="0.35">
      <c r="G264" s="2"/>
      <c r="L264" s="2"/>
    </row>
    <row r="265" spans="7:12" ht="15.75" customHeight="1" x14ac:dyDescent="0.35">
      <c r="G265" s="2"/>
      <c r="L265" s="2"/>
    </row>
    <row r="266" spans="7:12" ht="15.75" customHeight="1" x14ac:dyDescent="0.35">
      <c r="G266" s="2"/>
      <c r="L266" s="2"/>
    </row>
    <row r="267" spans="7:12" ht="15.75" customHeight="1" x14ac:dyDescent="0.35">
      <c r="G267" s="2"/>
      <c r="L267" s="2"/>
    </row>
    <row r="268" spans="7:12" ht="15.75" customHeight="1" x14ac:dyDescent="0.35">
      <c r="G268" s="2"/>
      <c r="L268" s="2"/>
    </row>
    <row r="269" spans="7:12" ht="15.75" customHeight="1" x14ac:dyDescent="0.35">
      <c r="G269" s="2"/>
      <c r="L269" s="2"/>
    </row>
    <row r="270" spans="7:12" ht="15.75" customHeight="1" x14ac:dyDescent="0.35">
      <c r="G270" s="2"/>
      <c r="L270" s="2"/>
    </row>
    <row r="271" spans="7:12" ht="15.75" customHeight="1" x14ac:dyDescent="0.35">
      <c r="G271" s="2"/>
      <c r="L271" s="2"/>
    </row>
    <row r="272" spans="7:12" ht="15.75" customHeight="1" x14ac:dyDescent="0.35">
      <c r="G272" s="2"/>
      <c r="L272" s="2"/>
    </row>
    <row r="273" spans="7:12" ht="15.75" customHeight="1" x14ac:dyDescent="0.35">
      <c r="G273" s="2"/>
      <c r="L273" s="2"/>
    </row>
    <row r="274" spans="7:12" ht="15.75" customHeight="1" x14ac:dyDescent="0.35">
      <c r="G274" s="2"/>
      <c r="L274" s="2"/>
    </row>
    <row r="275" spans="7:12" ht="15.75" customHeight="1" x14ac:dyDescent="0.35">
      <c r="G275" s="2"/>
      <c r="L275" s="2"/>
    </row>
    <row r="276" spans="7:12" ht="15.75" customHeight="1" x14ac:dyDescent="0.35">
      <c r="G276" s="2"/>
      <c r="L276" s="2"/>
    </row>
    <row r="277" spans="7:12" ht="15.75" customHeight="1" x14ac:dyDescent="0.35">
      <c r="G277" s="2"/>
      <c r="L277" s="2"/>
    </row>
    <row r="278" spans="7:12" ht="15.75" customHeight="1" x14ac:dyDescent="0.35">
      <c r="G278" s="2"/>
      <c r="L278" s="2"/>
    </row>
    <row r="279" spans="7:12" ht="15.75" customHeight="1" x14ac:dyDescent="0.35">
      <c r="G279" s="2"/>
      <c r="L279" s="2"/>
    </row>
    <row r="280" spans="7:12" ht="15.75" customHeight="1" x14ac:dyDescent="0.35">
      <c r="G280" s="2"/>
      <c r="L280" s="2"/>
    </row>
    <row r="281" spans="7:12" ht="15.75" customHeight="1" x14ac:dyDescent="0.35">
      <c r="G281" s="2"/>
      <c r="L281" s="2"/>
    </row>
    <row r="282" spans="7:12" ht="15.75" customHeight="1" x14ac:dyDescent="0.35">
      <c r="G282" s="2"/>
      <c r="L282" s="2"/>
    </row>
    <row r="283" spans="7:12" ht="15.75" customHeight="1" x14ac:dyDescent="0.35">
      <c r="G283" s="2"/>
      <c r="L283" s="2"/>
    </row>
    <row r="284" spans="7:12" ht="15.75" customHeight="1" x14ac:dyDescent="0.35">
      <c r="G284" s="2"/>
      <c r="L284" s="2"/>
    </row>
    <row r="285" spans="7:12" ht="15.75" customHeight="1" x14ac:dyDescent="0.35">
      <c r="G285" s="2"/>
      <c r="L285" s="2"/>
    </row>
    <row r="286" spans="7:12" ht="15.75" customHeight="1" x14ac:dyDescent="0.35">
      <c r="G286" s="2"/>
      <c r="L286" s="2"/>
    </row>
    <row r="287" spans="7:12" ht="15.75" customHeight="1" x14ac:dyDescent="0.35">
      <c r="G287" s="2"/>
      <c r="L287" s="2"/>
    </row>
    <row r="288" spans="7:12" ht="15.75" customHeight="1" x14ac:dyDescent="0.35">
      <c r="G288" s="2"/>
      <c r="L288" s="2"/>
    </row>
    <row r="289" spans="7:12" ht="15.75" customHeight="1" x14ac:dyDescent="0.35">
      <c r="G289" s="2"/>
      <c r="L289" s="2"/>
    </row>
    <row r="290" spans="7:12" ht="15.75" customHeight="1" x14ac:dyDescent="0.35">
      <c r="G290" s="2"/>
      <c r="L290" s="2"/>
    </row>
    <row r="291" spans="7:12" ht="15.75" customHeight="1" x14ac:dyDescent="0.35">
      <c r="G291" s="2"/>
      <c r="L291" s="2"/>
    </row>
    <row r="292" spans="7:12" ht="15.75" customHeight="1" x14ac:dyDescent="0.35">
      <c r="G292" s="2"/>
      <c r="L292" s="2"/>
    </row>
    <row r="293" spans="7:12" ht="15.75" customHeight="1" x14ac:dyDescent="0.35">
      <c r="G293" s="2"/>
      <c r="L293" s="2"/>
    </row>
    <row r="294" spans="7:12" ht="15.75" customHeight="1" x14ac:dyDescent="0.35">
      <c r="G294" s="2"/>
      <c r="L294" s="2"/>
    </row>
    <row r="295" spans="7:12" ht="15.75" customHeight="1" x14ac:dyDescent="0.35">
      <c r="G295" s="2"/>
      <c r="L295" s="2"/>
    </row>
    <row r="296" spans="7:12" ht="15.75" customHeight="1" x14ac:dyDescent="0.35">
      <c r="G296" s="2"/>
      <c r="L296" s="2"/>
    </row>
    <row r="297" spans="7:12" ht="15.75" customHeight="1" x14ac:dyDescent="0.35">
      <c r="G297" s="2"/>
      <c r="L297" s="2"/>
    </row>
    <row r="298" spans="7:12" ht="15.75" customHeight="1" x14ac:dyDescent="0.35">
      <c r="G298" s="2"/>
      <c r="L298" s="2"/>
    </row>
    <row r="299" spans="7:12" ht="15.75" customHeight="1" x14ac:dyDescent="0.35">
      <c r="G299" s="2"/>
      <c r="L299" s="2"/>
    </row>
    <row r="300" spans="7:12" ht="15.75" customHeight="1" x14ac:dyDescent="0.35">
      <c r="G300" s="2"/>
      <c r="L300" s="2"/>
    </row>
    <row r="301" spans="7:12" ht="15.75" customHeight="1" x14ac:dyDescent="0.35">
      <c r="G301" s="2"/>
      <c r="L301" s="2"/>
    </row>
    <row r="302" spans="7:12" ht="15.75" customHeight="1" x14ac:dyDescent="0.35">
      <c r="G302" s="2"/>
      <c r="L302" s="2"/>
    </row>
    <row r="303" spans="7:12" ht="15.75" customHeight="1" x14ac:dyDescent="0.35">
      <c r="G303" s="2"/>
      <c r="L303" s="2"/>
    </row>
    <row r="304" spans="7:12" ht="15.75" customHeight="1" x14ac:dyDescent="0.35">
      <c r="G304" s="2"/>
      <c r="L304" s="2"/>
    </row>
    <row r="305" spans="7:12" ht="15.75" customHeight="1" x14ac:dyDescent="0.35">
      <c r="G305" s="2"/>
      <c r="L305" s="2"/>
    </row>
    <row r="306" spans="7:12" ht="15.75" customHeight="1" x14ac:dyDescent="0.35">
      <c r="G306" s="2"/>
      <c r="L306" s="2"/>
    </row>
    <row r="307" spans="7:12" ht="15.75" customHeight="1" x14ac:dyDescent="0.35">
      <c r="G307" s="2"/>
      <c r="L307" s="2"/>
    </row>
    <row r="308" spans="7:12" ht="15.75" customHeight="1" x14ac:dyDescent="0.35">
      <c r="G308" s="2"/>
      <c r="L308" s="2"/>
    </row>
    <row r="309" spans="7:12" ht="15.75" customHeight="1" x14ac:dyDescent="0.35">
      <c r="G309" s="2"/>
      <c r="L309" s="2"/>
    </row>
    <row r="310" spans="7:12" ht="15.75" customHeight="1" x14ac:dyDescent="0.35">
      <c r="G310" s="2"/>
      <c r="L310" s="2"/>
    </row>
    <row r="311" spans="7:12" ht="15.75" customHeight="1" x14ac:dyDescent="0.35">
      <c r="G311" s="2"/>
      <c r="L311" s="2"/>
    </row>
    <row r="312" spans="7:12" ht="15.75" customHeight="1" x14ac:dyDescent="0.35">
      <c r="G312" s="2"/>
      <c r="L312" s="2"/>
    </row>
    <row r="313" spans="7:12" ht="15.75" customHeight="1" x14ac:dyDescent="0.35">
      <c r="G313" s="2"/>
      <c r="L313" s="2"/>
    </row>
    <row r="314" spans="7:12" ht="15.75" customHeight="1" x14ac:dyDescent="0.35">
      <c r="G314" s="2"/>
      <c r="L314" s="2"/>
    </row>
    <row r="315" spans="7:12" ht="15.75" customHeight="1" x14ac:dyDescent="0.35">
      <c r="G315" s="2"/>
      <c r="L315" s="2"/>
    </row>
    <row r="316" spans="7:12" ht="15.75" customHeight="1" x14ac:dyDescent="0.35">
      <c r="G316" s="2"/>
      <c r="L316" s="2"/>
    </row>
    <row r="317" spans="7:12" ht="15.75" customHeight="1" x14ac:dyDescent="0.35">
      <c r="G317" s="2"/>
      <c r="L317" s="2"/>
    </row>
    <row r="318" spans="7:12" ht="15.75" customHeight="1" x14ac:dyDescent="0.35">
      <c r="G318" s="2"/>
      <c r="L318" s="2"/>
    </row>
    <row r="319" spans="7:12" ht="15.75" customHeight="1" x14ac:dyDescent="0.35">
      <c r="G319" s="2"/>
      <c r="L319" s="2"/>
    </row>
    <row r="320" spans="7:12" ht="15.75" customHeight="1" x14ac:dyDescent="0.35">
      <c r="G320" s="2"/>
      <c r="L320" s="2"/>
    </row>
    <row r="321" spans="7:12" ht="15.75" customHeight="1" x14ac:dyDescent="0.35">
      <c r="G321" s="2"/>
      <c r="L321" s="2"/>
    </row>
    <row r="322" spans="7:12" ht="15.75" customHeight="1" x14ac:dyDescent="0.35">
      <c r="G322" s="2"/>
      <c r="L322" s="2"/>
    </row>
    <row r="323" spans="7:12" ht="15.75" customHeight="1" x14ac:dyDescent="0.35">
      <c r="G323" s="2"/>
      <c r="L323" s="2"/>
    </row>
    <row r="324" spans="7:12" ht="15.75" customHeight="1" x14ac:dyDescent="0.35">
      <c r="G324" s="2"/>
      <c r="L324" s="2"/>
    </row>
    <row r="325" spans="7:12" ht="15.75" customHeight="1" x14ac:dyDescent="0.35">
      <c r="G325" s="2"/>
      <c r="L325" s="2"/>
    </row>
    <row r="326" spans="7:12" ht="15.75" customHeight="1" x14ac:dyDescent="0.35">
      <c r="G326" s="2"/>
      <c r="L326" s="2"/>
    </row>
    <row r="327" spans="7:12" ht="15.75" customHeight="1" x14ac:dyDescent="0.35">
      <c r="G327" s="2"/>
      <c r="L327" s="2"/>
    </row>
    <row r="328" spans="7:12" ht="15.75" customHeight="1" x14ac:dyDescent="0.35">
      <c r="G328" s="2"/>
      <c r="L328" s="2"/>
    </row>
    <row r="329" spans="7:12" ht="15.75" customHeight="1" x14ac:dyDescent="0.35">
      <c r="G329" s="2"/>
      <c r="L329" s="2"/>
    </row>
    <row r="330" spans="7:12" ht="15.75" customHeight="1" x14ac:dyDescent="0.35">
      <c r="G330" s="2"/>
      <c r="L330" s="2"/>
    </row>
    <row r="331" spans="7:12" ht="15.75" customHeight="1" x14ac:dyDescent="0.35">
      <c r="G331" s="2"/>
      <c r="L331" s="2"/>
    </row>
    <row r="332" spans="7:12" ht="15.75" customHeight="1" x14ac:dyDescent="0.35">
      <c r="G332" s="2"/>
      <c r="L332" s="2"/>
    </row>
    <row r="333" spans="7:12" ht="15.75" customHeight="1" x14ac:dyDescent="0.35">
      <c r="G333" s="2"/>
      <c r="L333" s="2"/>
    </row>
    <row r="334" spans="7:12" ht="15.75" customHeight="1" x14ac:dyDescent="0.35">
      <c r="G334" s="2"/>
      <c r="L334" s="2"/>
    </row>
    <row r="335" spans="7:12" ht="15.75" customHeight="1" x14ac:dyDescent="0.35">
      <c r="G335" s="2"/>
      <c r="L335" s="2"/>
    </row>
    <row r="336" spans="7:12" ht="15.75" customHeight="1" x14ac:dyDescent="0.35">
      <c r="G336" s="2"/>
      <c r="L336" s="2"/>
    </row>
    <row r="337" spans="7:12" ht="15.75" customHeight="1" x14ac:dyDescent="0.35">
      <c r="G337" s="2"/>
      <c r="L337" s="2"/>
    </row>
    <row r="338" spans="7:12" ht="15.75" customHeight="1" x14ac:dyDescent="0.35">
      <c r="G338" s="2"/>
      <c r="L338" s="2"/>
    </row>
    <row r="339" spans="7:12" ht="15.75" customHeight="1" x14ac:dyDescent="0.35">
      <c r="G339" s="2"/>
      <c r="L339" s="2"/>
    </row>
    <row r="340" spans="7:12" ht="15.75" customHeight="1" x14ac:dyDescent="0.35">
      <c r="G340" s="2"/>
      <c r="L340" s="2"/>
    </row>
    <row r="341" spans="7:12" ht="15.75" customHeight="1" x14ac:dyDescent="0.35">
      <c r="G341" s="2"/>
      <c r="L341" s="2"/>
    </row>
    <row r="342" spans="7:12" ht="15.75" customHeight="1" x14ac:dyDescent="0.35">
      <c r="G342" s="2"/>
      <c r="L342" s="2"/>
    </row>
    <row r="343" spans="7:12" ht="15.75" customHeight="1" x14ac:dyDescent="0.35">
      <c r="G343" s="2"/>
      <c r="L343" s="2"/>
    </row>
    <row r="344" spans="7:12" ht="15.75" customHeight="1" x14ac:dyDescent="0.35">
      <c r="G344" s="2"/>
      <c r="L344" s="2"/>
    </row>
    <row r="345" spans="7:12" ht="15.75" customHeight="1" x14ac:dyDescent="0.35">
      <c r="G345" s="2"/>
      <c r="L345" s="2"/>
    </row>
    <row r="346" spans="7:12" ht="15.75" customHeight="1" x14ac:dyDescent="0.35">
      <c r="G346" s="2"/>
      <c r="L346" s="2"/>
    </row>
    <row r="347" spans="7:12" ht="15.75" customHeight="1" x14ac:dyDescent="0.35">
      <c r="G347" s="2"/>
      <c r="L347" s="2"/>
    </row>
    <row r="348" spans="7:12" ht="15.75" customHeight="1" x14ac:dyDescent="0.35">
      <c r="G348" s="2"/>
      <c r="L348" s="2"/>
    </row>
    <row r="349" spans="7:12" ht="15.75" customHeight="1" x14ac:dyDescent="0.35">
      <c r="G349" s="2"/>
      <c r="L349" s="2"/>
    </row>
    <row r="350" spans="7:12" ht="15.75" customHeight="1" x14ac:dyDescent="0.35">
      <c r="G350" s="2"/>
      <c r="L350" s="2"/>
    </row>
    <row r="351" spans="7:12" ht="15.75" customHeight="1" x14ac:dyDescent="0.35">
      <c r="G351" s="2"/>
      <c r="L351" s="2"/>
    </row>
    <row r="352" spans="7:12" ht="15.75" customHeight="1" x14ac:dyDescent="0.35">
      <c r="G352" s="2"/>
      <c r="L352" s="2"/>
    </row>
    <row r="353" spans="7:12" ht="15.75" customHeight="1" x14ac:dyDescent="0.35">
      <c r="G353" s="2"/>
      <c r="L353" s="2"/>
    </row>
    <row r="354" spans="7:12" ht="15.75" customHeight="1" x14ac:dyDescent="0.35">
      <c r="G354" s="2"/>
      <c r="L354" s="2"/>
    </row>
    <row r="355" spans="7:12" ht="15.75" customHeight="1" x14ac:dyDescent="0.35">
      <c r="G355" s="2"/>
      <c r="L355" s="2"/>
    </row>
    <row r="356" spans="7:12" ht="15.75" customHeight="1" x14ac:dyDescent="0.35">
      <c r="G356" s="2"/>
      <c r="L356" s="2"/>
    </row>
    <row r="357" spans="7:12" ht="15.75" customHeight="1" x14ac:dyDescent="0.35">
      <c r="G357" s="2"/>
      <c r="L357" s="2"/>
    </row>
    <row r="358" spans="7:12" ht="15.75" customHeight="1" x14ac:dyDescent="0.35">
      <c r="G358" s="2"/>
      <c r="L358" s="2"/>
    </row>
    <row r="359" spans="7:12" ht="15.75" customHeight="1" x14ac:dyDescent="0.35">
      <c r="G359" s="2"/>
      <c r="L359" s="2"/>
    </row>
    <row r="360" spans="7:12" ht="15.75" customHeight="1" x14ac:dyDescent="0.35">
      <c r="G360" s="2"/>
      <c r="L360" s="2"/>
    </row>
    <row r="361" spans="7:12" ht="15.75" customHeight="1" x14ac:dyDescent="0.35">
      <c r="G361" s="2"/>
      <c r="L361" s="2"/>
    </row>
    <row r="362" spans="7:12" ht="15.75" customHeight="1" x14ac:dyDescent="0.35">
      <c r="G362" s="2"/>
      <c r="L362" s="2"/>
    </row>
    <row r="363" spans="7:12" ht="15.75" customHeight="1" x14ac:dyDescent="0.35">
      <c r="G363" s="2"/>
      <c r="L363" s="2"/>
    </row>
    <row r="364" spans="7:12" ht="15.75" customHeight="1" x14ac:dyDescent="0.35">
      <c r="G364" s="2"/>
      <c r="L364" s="2"/>
    </row>
    <row r="365" spans="7:12" ht="15.75" customHeight="1" x14ac:dyDescent="0.35">
      <c r="G365" s="2"/>
      <c r="L365" s="2"/>
    </row>
    <row r="366" spans="7:12" ht="15.75" customHeight="1" x14ac:dyDescent="0.35">
      <c r="G366" s="2"/>
      <c r="L366" s="2"/>
    </row>
    <row r="367" spans="7:12" ht="15.75" customHeight="1" x14ac:dyDescent="0.35">
      <c r="G367" s="2"/>
      <c r="L367" s="2"/>
    </row>
    <row r="368" spans="7:12" ht="15.75" customHeight="1" x14ac:dyDescent="0.35">
      <c r="G368" s="2"/>
      <c r="L368" s="2"/>
    </row>
    <row r="369" spans="7:12" ht="15.75" customHeight="1" x14ac:dyDescent="0.35">
      <c r="G369" s="2"/>
      <c r="L369" s="2"/>
    </row>
    <row r="370" spans="7:12" ht="15.75" customHeight="1" x14ac:dyDescent="0.35">
      <c r="G370" s="2"/>
      <c r="L370" s="2"/>
    </row>
    <row r="371" spans="7:12" ht="15.75" customHeight="1" x14ac:dyDescent="0.35">
      <c r="G371" s="2"/>
      <c r="L371" s="2"/>
    </row>
    <row r="372" spans="7:12" ht="15.75" customHeight="1" x14ac:dyDescent="0.35">
      <c r="G372" s="2"/>
      <c r="L372" s="2"/>
    </row>
    <row r="373" spans="7:12" ht="15.75" customHeight="1" x14ac:dyDescent="0.35">
      <c r="G373" s="2"/>
      <c r="L373" s="2"/>
    </row>
    <row r="374" spans="7:12" ht="15.75" customHeight="1" x14ac:dyDescent="0.35">
      <c r="G374" s="2"/>
      <c r="L374" s="2"/>
    </row>
    <row r="375" spans="7:12" ht="15.75" customHeight="1" x14ac:dyDescent="0.35">
      <c r="G375" s="2"/>
      <c r="L375" s="2"/>
    </row>
    <row r="376" spans="7:12" ht="15.75" customHeight="1" x14ac:dyDescent="0.35">
      <c r="G376" s="2"/>
      <c r="L376" s="2"/>
    </row>
    <row r="377" spans="7:12" ht="15.75" customHeight="1" x14ac:dyDescent="0.35">
      <c r="G377" s="2"/>
      <c r="L377" s="2"/>
    </row>
    <row r="378" spans="7:12" ht="15.75" customHeight="1" x14ac:dyDescent="0.35">
      <c r="G378" s="2"/>
      <c r="L378" s="2"/>
    </row>
    <row r="379" spans="7:12" ht="15.75" customHeight="1" x14ac:dyDescent="0.35">
      <c r="G379" s="2"/>
      <c r="L379" s="2"/>
    </row>
    <row r="380" spans="7:12" ht="15.75" customHeight="1" x14ac:dyDescent="0.35">
      <c r="G380" s="2"/>
      <c r="L380" s="2"/>
    </row>
    <row r="381" spans="7:12" ht="15.75" customHeight="1" x14ac:dyDescent="0.35">
      <c r="G381" s="2"/>
      <c r="L381" s="2"/>
    </row>
    <row r="382" spans="7:12" ht="15.75" customHeight="1" x14ac:dyDescent="0.35">
      <c r="G382" s="2"/>
      <c r="L382" s="2"/>
    </row>
    <row r="383" spans="7:12" ht="15.75" customHeight="1" x14ac:dyDescent="0.35">
      <c r="G383" s="2"/>
      <c r="L383" s="2"/>
    </row>
    <row r="384" spans="7:12" ht="15.75" customHeight="1" x14ac:dyDescent="0.35">
      <c r="G384" s="2"/>
      <c r="L384" s="2"/>
    </row>
    <row r="385" spans="7:12" ht="15.75" customHeight="1" x14ac:dyDescent="0.35">
      <c r="G385" s="2"/>
      <c r="L385" s="2"/>
    </row>
    <row r="386" spans="7:12" ht="15.75" customHeight="1" x14ac:dyDescent="0.35">
      <c r="G386" s="2"/>
      <c r="L386" s="2"/>
    </row>
    <row r="387" spans="7:12" ht="15.75" customHeight="1" x14ac:dyDescent="0.35">
      <c r="G387" s="2"/>
      <c r="L387" s="2"/>
    </row>
    <row r="388" spans="7:12" ht="15.75" customHeight="1" x14ac:dyDescent="0.35">
      <c r="G388" s="2"/>
      <c r="L388" s="2"/>
    </row>
    <row r="389" spans="7:12" ht="15.75" customHeight="1" x14ac:dyDescent="0.35">
      <c r="G389" s="2"/>
      <c r="L389" s="2"/>
    </row>
    <row r="390" spans="7:12" ht="15.75" customHeight="1" x14ac:dyDescent="0.35">
      <c r="G390" s="2"/>
      <c r="L390" s="2"/>
    </row>
    <row r="391" spans="7:12" ht="15.75" customHeight="1" x14ac:dyDescent="0.35">
      <c r="G391" s="2"/>
      <c r="L391" s="2"/>
    </row>
    <row r="392" spans="7:12" ht="15.75" customHeight="1" x14ac:dyDescent="0.35">
      <c r="G392" s="2"/>
      <c r="L392" s="2"/>
    </row>
    <row r="393" spans="7:12" ht="15.75" customHeight="1" x14ac:dyDescent="0.35">
      <c r="G393" s="2"/>
      <c r="L393" s="2"/>
    </row>
    <row r="394" spans="7:12" ht="15.75" customHeight="1" x14ac:dyDescent="0.35">
      <c r="G394" s="2"/>
      <c r="L394" s="2"/>
    </row>
    <row r="395" spans="7:12" ht="15.75" customHeight="1" x14ac:dyDescent="0.35">
      <c r="G395" s="2"/>
      <c r="L395" s="2"/>
    </row>
    <row r="396" spans="7:12" ht="15.75" customHeight="1" x14ac:dyDescent="0.35">
      <c r="G396" s="2"/>
      <c r="L396" s="2"/>
    </row>
    <row r="397" spans="7:12" ht="15.75" customHeight="1" x14ac:dyDescent="0.35">
      <c r="G397" s="2"/>
      <c r="L397" s="2"/>
    </row>
    <row r="398" spans="7:12" ht="15.75" customHeight="1" x14ac:dyDescent="0.35">
      <c r="G398" s="2"/>
      <c r="L398" s="2"/>
    </row>
    <row r="399" spans="7:12" ht="15.75" customHeight="1" x14ac:dyDescent="0.35">
      <c r="G399" s="2"/>
      <c r="L399" s="2"/>
    </row>
    <row r="400" spans="7:12" ht="15.75" customHeight="1" x14ac:dyDescent="0.35">
      <c r="G400" s="2"/>
      <c r="L400" s="2"/>
    </row>
    <row r="401" spans="7:12" ht="15.75" customHeight="1" x14ac:dyDescent="0.35">
      <c r="G401" s="2"/>
      <c r="L401" s="2"/>
    </row>
    <row r="402" spans="7:12" ht="15.75" customHeight="1" x14ac:dyDescent="0.35">
      <c r="G402" s="2"/>
      <c r="L402" s="2"/>
    </row>
    <row r="403" spans="7:12" ht="15.75" customHeight="1" x14ac:dyDescent="0.35">
      <c r="G403" s="2"/>
      <c r="L403" s="2"/>
    </row>
    <row r="404" spans="7:12" ht="15.75" customHeight="1" x14ac:dyDescent="0.35">
      <c r="G404" s="2"/>
      <c r="L404" s="2"/>
    </row>
    <row r="405" spans="7:12" ht="15.75" customHeight="1" x14ac:dyDescent="0.35">
      <c r="G405" s="2"/>
      <c r="L405" s="2"/>
    </row>
    <row r="406" spans="7:12" ht="15.75" customHeight="1" x14ac:dyDescent="0.35">
      <c r="G406" s="2"/>
      <c r="L406" s="2"/>
    </row>
    <row r="407" spans="7:12" ht="15.75" customHeight="1" x14ac:dyDescent="0.35">
      <c r="G407" s="2"/>
      <c r="L407" s="2"/>
    </row>
    <row r="408" spans="7:12" ht="15.75" customHeight="1" x14ac:dyDescent="0.35">
      <c r="G408" s="2"/>
      <c r="L408" s="2"/>
    </row>
    <row r="409" spans="7:12" ht="15.75" customHeight="1" x14ac:dyDescent="0.35">
      <c r="G409" s="2"/>
      <c r="L409" s="2"/>
    </row>
    <row r="410" spans="7:12" ht="15.75" customHeight="1" x14ac:dyDescent="0.35">
      <c r="G410" s="2"/>
      <c r="L410" s="2"/>
    </row>
    <row r="411" spans="7:12" ht="15.75" customHeight="1" x14ac:dyDescent="0.35">
      <c r="G411" s="2"/>
      <c r="L411" s="2"/>
    </row>
    <row r="412" spans="7:12" ht="15.75" customHeight="1" x14ac:dyDescent="0.35">
      <c r="G412" s="2"/>
      <c r="L412" s="2"/>
    </row>
    <row r="413" spans="7:12" ht="15.75" customHeight="1" x14ac:dyDescent="0.35">
      <c r="G413" s="2"/>
      <c r="L413" s="2"/>
    </row>
    <row r="414" spans="7:12" ht="15.75" customHeight="1" x14ac:dyDescent="0.35">
      <c r="G414" s="2"/>
      <c r="L414" s="2"/>
    </row>
    <row r="415" spans="7:12" ht="15.75" customHeight="1" x14ac:dyDescent="0.35">
      <c r="G415" s="2"/>
      <c r="L415" s="2"/>
    </row>
    <row r="416" spans="7:12" ht="15.75" customHeight="1" x14ac:dyDescent="0.35">
      <c r="G416" s="2"/>
      <c r="L416" s="2"/>
    </row>
    <row r="417" spans="7:12" ht="15.75" customHeight="1" x14ac:dyDescent="0.35">
      <c r="G417" s="2"/>
      <c r="L417" s="2"/>
    </row>
    <row r="418" spans="7:12" ht="15.75" customHeight="1" x14ac:dyDescent="0.35">
      <c r="G418" s="2"/>
      <c r="L418" s="2"/>
    </row>
    <row r="419" spans="7:12" ht="15.75" customHeight="1" x14ac:dyDescent="0.35">
      <c r="G419" s="2"/>
      <c r="L419" s="2"/>
    </row>
    <row r="420" spans="7:12" ht="15.75" customHeight="1" x14ac:dyDescent="0.35">
      <c r="G420" s="2"/>
      <c r="L420" s="2"/>
    </row>
    <row r="421" spans="7:12" ht="15.75" customHeight="1" x14ac:dyDescent="0.35">
      <c r="G421" s="2"/>
      <c r="L421" s="2"/>
    </row>
    <row r="422" spans="7:12" ht="15.75" customHeight="1" x14ac:dyDescent="0.35">
      <c r="G422" s="2"/>
      <c r="L422" s="2"/>
    </row>
    <row r="423" spans="7:12" ht="15.75" customHeight="1" x14ac:dyDescent="0.35">
      <c r="G423" s="2"/>
      <c r="L423" s="2"/>
    </row>
    <row r="424" spans="7:12" ht="15.75" customHeight="1" x14ac:dyDescent="0.35">
      <c r="G424" s="2"/>
      <c r="L424" s="2"/>
    </row>
    <row r="425" spans="7:12" ht="15.75" customHeight="1" x14ac:dyDescent="0.35">
      <c r="G425" s="2"/>
      <c r="L425" s="2"/>
    </row>
    <row r="426" spans="7:12" ht="15.75" customHeight="1" x14ac:dyDescent="0.35">
      <c r="G426" s="2"/>
      <c r="L426" s="2"/>
    </row>
    <row r="427" spans="7:12" ht="15.75" customHeight="1" x14ac:dyDescent="0.35">
      <c r="G427" s="2"/>
      <c r="L427" s="2"/>
    </row>
    <row r="428" spans="7:12" ht="15.75" customHeight="1" x14ac:dyDescent="0.35">
      <c r="G428" s="2"/>
      <c r="L428" s="2"/>
    </row>
    <row r="429" spans="7:12" ht="15.75" customHeight="1" x14ac:dyDescent="0.35">
      <c r="G429" s="2"/>
      <c r="L429" s="2"/>
    </row>
    <row r="430" spans="7:12" ht="15.75" customHeight="1" x14ac:dyDescent="0.35">
      <c r="G430" s="2"/>
      <c r="L430" s="2"/>
    </row>
    <row r="431" spans="7:12" ht="15.75" customHeight="1" x14ac:dyDescent="0.35">
      <c r="G431" s="2"/>
      <c r="L431" s="2"/>
    </row>
    <row r="432" spans="7:12" ht="15.75" customHeight="1" x14ac:dyDescent="0.35">
      <c r="G432" s="2"/>
      <c r="L432" s="2"/>
    </row>
    <row r="433" spans="7:12" ht="15.75" customHeight="1" x14ac:dyDescent="0.35">
      <c r="G433" s="2"/>
      <c r="L433" s="2"/>
    </row>
    <row r="434" spans="7:12" ht="15.75" customHeight="1" x14ac:dyDescent="0.35">
      <c r="G434" s="2"/>
      <c r="L434" s="2"/>
    </row>
    <row r="435" spans="7:12" ht="15.75" customHeight="1" x14ac:dyDescent="0.35">
      <c r="G435" s="2"/>
      <c r="L435" s="2"/>
    </row>
    <row r="436" spans="7:12" ht="15.75" customHeight="1" x14ac:dyDescent="0.35">
      <c r="G436" s="2"/>
      <c r="L436" s="2"/>
    </row>
    <row r="437" spans="7:12" ht="15.75" customHeight="1" x14ac:dyDescent="0.35">
      <c r="G437" s="2"/>
      <c r="L437" s="2"/>
    </row>
    <row r="438" spans="7:12" ht="15.75" customHeight="1" x14ac:dyDescent="0.35">
      <c r="G438" s="2"/>
      <c r="L438" s="2"/>
    </row>
    <row r="439" spans="7:12" ht="15.75" customHeight="1" x14ac:dyDescent="0.35">
      <c r="G439" s="2"/>
      <c r="L439" s="2"/>
    </row>
    <row r="440" spans="7:12" ht="15.75" customHeight="1" x14ac:dyDescent="0.35">
      <c r="G440" s="2"/>
      <c r="L440" s="2"/>
    </row>
    <row r="441" spans="7:12" ht="15.75" customHeight="1" x14ac:dyDescent="0.35">
      <c r="G441" s="2"/>
      <c r="L441" s="2"/>
    </row>
    <row r="442" spans="7:12" ht="15.75" customHeight="1" x14ac:dyDescent="0.35">
      <c r="G442" s="2"/>
      <c r="L442" s="2"/>
    </row>
    <row r="443" spans="7:12" ht="15.75" customHeight="1" x14ac:dyDescent="0.35">
      <c r="G443" s="2"/>
      <c r="L443" s="2"/>
    </row>
    <row r="444" spans="7:12" ht="15.75" customHeight="1" x14ac:dyDescent="0.35">
      <c r="G444" s="2"/>
      <c r="L444" s="2"/>
    </row>
    <row r="445" spans="7:12" ht="15.75" customHeight="1" x14ac:dyDescent="0.35">
      <c r="G445" s="2"/>
      <c r="L445" s="2"/>
    </row>
    <row r="446" spans="7:12" ht="15.75" customHeight="1" x14ac:dyDescent="0.35">
      <c r="G446" s="2"/>
      <c r="L446" s="2"/>
    </row>
    <row r="447" spans="7:12" ht="15.75" customHeight="1" x14ac:dyDescent="0.35">
      <c r="G447" s="2"/>
      <c r="L447" s="2"/>
    </row>
    <row r="448" spans="7:12" ht="15.75" customHeight="1" x14ac:dyDescent="0.35">
      <c r="G448" s="2"/>
      <c r="L448" s="2"/>
    </row>
    <row r="449" spans="7:12" ht="15.75" customHeight="1" x14ac:dyDescent="0.35">
      <c r="G449" s="2"/>
      <c r="L449" s="2"/>
    </row>
    <row r="450" spans="7:12" ht="15.75" customHeight="1" x14ac:dyDescent="0.35">
      <c r="G450" s="2"/>
      <c r="L450" s="2"/>
    </row>
    <row r="451" spans="7:12" ht="15.75" customHeight="1" x14ac:dyDescent="0.35">
      <c r="G451" s="2"/>
      <c r="L451" s="2"/>
    </row>
    <row r="452" spans="7:12" ht="15.75" customHeight="1" x14ac:dyDescent="0.35">
      <c r="G452" s="2"/>
      <c r="L452" s="2"/>
    </row>
    <row r="453" spans="7:12" ht="15.75" customHeight="1" x14ac:dyDescent="0.35">
      <c r="G453" s="2"/>
      <c r="L453" s="2"/>
    </row>
    <row r="454" spans="7:12" ht="15.75" customHeight="1" x14ac:dyDescent="0.35">
      <c r="G454" s="2"/>
      <c r="L454" s="2"/>
    </row>
    <row r="455" spans="7:12" ht="15.75" customHeight="1" x14ac:dyDescent="0.35">
      <c r="G455" s="2"/>
      <c r="L455" s="2"/>
    </row>
    <row r="456" spans="7:12" ht="15.75" customHeight="1" x14ac:dyDescent="0.35">
      <c r="G456" s="2"/>
      <c r="L456" s="2"/>
    </row>
    <row r="457" spans="7:12" ht="15.75" customHeight="1" x14ac:dyDescent="0.35">
      <c r="G457" s="2"/>
      <c r="L457" s="2"/>
    </row>
    <row r="458" spans="7:12" ht="15.75" customHeight="1" x14ac:dyDescent="0.35">
      <c r="G458" s="2"/>
      <c r="L458" s="2"/>
    </row>
    <row r="459" spans="7:12" ht="15.75" customHeight="1" x14ac:dyDescent="0.35">
      <c r="G459" s="2"/>
      <c r="L459" s="2"/>
    </row>
    <row r="460" spans="7:12" ht="15.75" customHeight="1" x14ac:dyDescent="0.35">
      <c r="G460" s="2"/>
      <c r="L460" s="2"/>
    </row>
    <row r="461" spans="7:12" ht="15.75" customHeight="1" x14ac:dyDescent="0.35">
      <c r="G461" s="2"/>
      <c r="L461" s="2"/>
    </row>
    <row r="462" spans="7:12" ht="15.75" customHeight="1" x14ac:dyDescent="0.35">
      <c r="G462" s="2"/>
      <c r="L462" s="2"/>
    </row>
    <row r="463" spans="7:12" ht="15.75" customHeight="1" x14ac:dyDescent="0.35">
      <c r="G463" s="2"/>
      <c r="L463" s="2"/>
    </row>
    <row r="464" spans="7:12" ht="15.75" customHeight="1" x14ac:dyDescent="0.35">
      <c r="G464" s="2"/>
      <c r="L464" s="2"/>
    </row>
    <row r="465" spans="7:12" ht="15.75" customHeight="1" x14ac:dyDescent="0.35">
      <c r="G465" s="2"/>
      <c r="L465" s="2"/>
    </row>
    <row r="466" spans="7:12" ht="15.75" customHeight="1" x14ac:dyDescent="0.35">
      <c r="G466" s="2"/>
      <c r="L466" s="2"/>
    </row>
    <row r="467" spans="7:12" ht="15.75" customHeight="1" x14ac:dyDescent="0.35">
      <c r="G467" s="2"/>
      <c r="L467" s="2"/>
    </row>
    <row r="468" spans="7:12" ht="15.75" customHeight="1" x14ac:dyDescent="0.35">
      <c r="G468" s="2"/>
      <c r="L468" s="2"/>
    </row>
    <row r="469" spans="7:12" ht="15.75" customHeight="1" x14ac:dyDescent="0.35">
      <c r="G469" s="2"/>
      <c r="L469" s="2"/>
    </row>
    <row r="470" spans="7:12" ht="15.75" customHeight="1" x14ac:dyDescent="0.35">
      <c r="G470" s="2"/>
      <c r="L470" s="2"/>
    </row>
    <row r="471" spans="7:12" ht="15.75" customHeight="1" x14ac:dyDescent="0.35">
      <c r="G471" s="2"/>
      <c r="L471" s="2"/>
    </row>
    <row r="472" spans="7:12" ht="15.75" customHeight="1" x14ac:dyDescent="0.35">
      <c r="G472" s="2"/>
      <c r="L472" s="2"/>
    </row>
    <row r="473" spans="7:12" ht="15.75" customHeight="1" x14ac:dyDescent="0.35">
      <c r="G473" s="2"/>
      <c r="L473" s="2"/>
    </row>
    <row r="474" spans="7:12" ht="15.75" customHeight="1" x14ac:dyDescent="0.35">
      <c r="G474" s="2"/>
      <c r="L474" s="2"/>
    </row>
    <row r="475" spans="7:12" ht="15.75" customHeight="1" x14ac:dyDescent="0.35">
      <c r="G475" s="2"/>
      <c r="L475" s="2"/>
    </row>
    <row r="476" spans="7:12" ht="15.75" customHeight="1" x14ac:dyDescent="0.35">
      <c r="G476" s="2"/>
      <c r="L476" s="2"/>
    </row>
    <row r="477" spans="7:12" ht="15.75" customHeight="1" x14ac:dyDescent="0.35">
      <c r="G477" s="2"/>
      <c r="L477" s="2"/>
    </row>
    <row r="478" spans="7:12" ht="15.75" customHeight="1" x14ac:dyDescent="0.35">
      <c r="G478" s="2"/>
      <c r="L478" s="2"/>
    </row>
    <row r="479" spans="7:12" ht="15.75" customHeight="1" x14ac:dyDescent="0.35">
      <c r="G479" s="2"/>
      <c r="L479" s="2"/>
    </row>
    <row r="480" spans="7:12" ht="15.75" customHeight="1" x14ac:dyDescent="0.35">
      <c r="G480" s="2"/>
      <c r="L480" s="2"/>
    </row>
    <row r="481" spans="7:12" ht="15.75" customHeight="1" x14ac:dyDescent="0.35">
      <c r="G481" s="2"/>
      <c r="L481" s="2"/>
    </row>
    <row r="482" spans="7:12" ht="15.75" customHeight="1" x14ac:dyDescent="0.35">
      <c r="G482" s="2"/>
      <c r="L482" s="2"/>
    </row>
    <row r="483" spans="7:12" ht="15.75" customHeight="1" x14ac:dyDescent="0.35">
      <c r="G483" s="2"/>
      <c r="L483" s="2"/>
    </row>
    <row r="484" spans="7:12" ht="15.75" customHeight="1" x14ac:dyDescent="0.35">
      <c r="G484" s="2"/>
      <c r="L484" s="2"/>
    </row>
    <row r="485" spans="7:12" ht="15.75" customHeight="1" x14ac:dyDescent="0.35">
      <c r="G485" s="2"/>
      <c r="L485" s="2"/>
    </row>
    <row r="486" spans="7:12" ht="15.75" customHeight="1" x14ac:dyDescent="0.35">
      <c r="G486" s="2"/>
      <c r="L486" s="2"/>
    </row>
    <row r="487" spans="7:12" ht="15.75" customHeight="1" x14ac:dyDescent="0.35">
      <c r="G487" s="2"/>
      <c r="L487" s="2"/>
    </row>
    <row r="488" spans="7:12" ht="15.75" customHeight="1" x14ac:dyDescent="0.35">
      <c r="G488" s="2"/>
      <c r="L488" s="2"/>
    </row>
    <row r="489" spans="7:12" ht="15.75" customHeight="1" x14ac:dyDescent="0.35">
      <c r="G489" s="2"/>
      <c r="L489" s="2"/>
    </row>
    <row r="490" spans="7:12" ht="15.75" customHeight="1" x14ac:dyDescent="0.35">
      <c r="G490" s="2"/>
      <c r="L490" s="2"/>
    </row>
    <row r="491" spans="7:12" ht="15.75" customHeight="1" x14ac:dyDescent="0.35">
      <c r="G491" s="2"/>
      <c r="L491" s="2"/>
    </row>
    <row r="492" spans="7:12" ht="15.75" customHeight="1" x14ac:dyDescent="0.35">
      <c r="G492" s="2"/>
      <c r="L492" s="2"/>
    </row>
    <row r="493" spans="7:12" ht="15.75" customHeight="1" x14ac:dyDescent="0.35">
      <c r="G493" s="2"/>
      <c r="L493" s="2"/>
    </row>
    <row r="494" spans="7:12" ht="15.75" customHeight="1" x14ac:dyDescent="0.35">
      <c r="G494" s="2"/>
      <c r="L494" s="2"/>
    </row>
    <row r="495" spans="7:12" ht="15.75" customHeight="1" x14ac:dyDescent="0.35">
      <c r="G495" s="2"/>
      <c r="L495" s="2"/>
    </row>
    <row r="496" spans="7:12" ht="15.75" customHeight="1" x14ac:dyDescent="0.35">
      <c r="G496" s="2"/>
      <c r="L496" s="2"/>
    </row>
    <row r="497" spans="7:12" ht="15.75" customHeight="1" x14ac:dyDescent="0.35">
      <c r="G497" s="2"/>
      <c r="L497" s="2"/>
    </row>
    <row r="498" spans="7:12" ht="15.75" customHeight="1" x14ac:dyDescent="0.35">
      <c r="G498" s="2"/>
      <c r="L498" s="2"/>
    </row>
    <row r="499" spans="7:12" ht="15.75" customHeight="1" x14ac:dyDescent="0.35">
      <c r="G499" s="2"/>
      <c r="L499" s="2"/>
    </row>
    <row r="500" spans="7:12" ht="15.75" customHeight="1" x14ac:dyDescent="0.35">
      <c r="G500" s="2"/>
      <c r="L500" s="2"/>
    </row>
    <row r="501" spans="7:12" ht="15.75" customHeight="1" x14ac:dyDescent="0.35">
      <c r="G501" s="2"/>
      <c r="L501" s="2"/>
    </row>
    <row r="502" spans="7:12" ht="15.75" customHeight="1" x14ac:dyDescent="0.35">
      <c r="G502" s="2"/>
      <c r="L502" s="2"/>
    </row>
    <row r="503" spans="7:12" ht="15.75" customHeight="1" x14ac:dyDescent="0.35">
      <c r="G503" s="2"/>
      <c r="L503" s="2"/>
    </row>
    <row r="504" spans="7:12" ht="15.75" customHeight="1" x14ac:dyDescent="0.35">
      <c r="G504" s="2"/>
      <c r="L504" s="2"/>
    </row>
    <row r="505" spans="7:12" ht="15.75" customHeight="1" x14ac:dyDescent="0.35">
      <c r="G505" s="2"/>
      <c r="L505" s="2"/>
    </row>
    <row r="506" spans="7:12" ht="15.75" customHeight="1" x14ac:dyDescent="0.35">
      <c r="G506" s="2"/>
      <c r="L506" s="2"/>
    </row>
    <row r="507" spans="7:12" ht="15.75" customHeight="1" x14ac:dyDescent="0.35">
      <c r="G507" s="2"/>
      <c r="L507" s="2"/>
    </row>
    <row r="508" spans="7:12" ht="15.75" customHeight="1" x14ac:dyDescent="0.35">
      <c r="G508" s="2"/>
      <c r="L508" s="2"/>
    </row>
    <row r="509" spans="7:12" ht="15.75" customHeight="1" x14ac:dyDescent="0.35">
      <c r="G509" s="2"/>
      <c r="L509" s="2"/>
    </row>
    <row r="510" spans="7:12" ht="15.75" customHeight="1" x14ac:dyDescent="0.35">
      <c r="G510" s="2"/>
      <c r="L510" s="2"/>
    </row>
    <row r="511" spans="7:12" ht="15.75" customHeight="1" x14ac:dyDescent="0.35">
      <c r="G511" s="2"/>
      <c r="L511" s="2"/>
    </row>
    <row r="512" spans="7:12" ht="15.75" customHeight="1" x14ac:dyDescent="0.35">
      <c r="G512" s="2"/>
      <c r="L512" s="2"/>
    </row>
    <row r="513" spans="7:12" ht="15.75" customHeight="1" x14ac:dyDescent="0.35">
      <c r="G513" s="2"/>
      <c r="L513" s="2"/>
    </row>
    <row r="514" spans="7:12" ht="15.75" customHeight="1" x14ac:dyDescent="0.35">
      <c r="G514" s="2"/>
      <c r="L514" s="2"/>
    </row>
    <row r="515" spans="7:12" ht="15.75" customHeight="1" x14ac:dyDescent="0.35">
      <c r="G515" s="2"/>
      <c r="L515" s="2"/>
    </row>
    <row r="516" spans="7:12" ht="15.75" customHeight="1" x14ac:dyDescent="0.35">
      <c r="G516" s="2"/>
      <c r="L516" s="2"/>
    </row>
    <row r="517" spans="7:12" ht="15.75" customHeight="1" x14ac:dyDescent="0.35">
      <c r="G517" s="2"/>
      <c r="L517" s="2"/>
    </row>
    <row r="518" spans="7:12" ht="15.75" customHeight="1" x14ac:dyDescent="0.35">
      <c r="G518" s="2"/>
      <c r="L518" s="2"/>
    </row>
    <row r="519" spans="7:12" ht="15.75" customHeight="1" x14ac:dyDescent="0.35">
      <c r="G519" s="2"/>
      <c r="L519" s="2"/>
    </row>
    <row r="520" spans="7:12" ht="15.75" customHeight="1" x14ac:dyDescent="0.35">
      <c r="G520" s="2"/>
      <c r="L520" s="2"/>
    </row>
    <row r="521" spans="7:12" ht="15.75" customHeight="1" x14ac:dyDescent="0.35">
      <c r="G521" s="2"/>
      <c r="L521" s="2"/>
    </row>
    <row r="522" spans="7:12" ht="15.75" customHeight="1" x14ac:dyDescent="0.35">
      <c r="G522" s="2"/>
      <c r="L522" s="2"/>
    </row>
    <row r="523" spans="7:12" ht="15.75" customHeight="1" x14ac:dyDescent="0.35">
      <c r="G523" s="2"/>
      <c r="L523" s="2"/>
    </row>
    <row r="524" spans="7:12" ht="15.75" customHeight="1" x14ac:dyDescent="0.35">
      <c r="G524" s="2"/>
      <c r="L524" s="2"/>
    </row>
    <row r="525" spans="7:12" ht="15.75" customHeight="1" x14ac:dyDescent="0.35">
      <c r="G525" s="2"/>
      <c r="L525" s="2"/>
    </row>
    <row r="526" spans="7:12" ht="15.75" customHeight="1" x14ac:dyDescent="0.35">
      <c r="G526" s="2"/>
      <c r="L526" s="2"/>
    </row>
    <row r="527" spans="7:12" ht="15.75" customHeight="1" x14ac:dyDescent="0.35">
      <c r="G527" s="2"/>
      <c r="L527" s="2"/>
    </row>
    <row r="528" spans="7:12" ht="15.75" customHeight="1" x14ac:dyDescent="0.35">
      <c r="G528" s="2"/>
      <c r="L528" s="2"/>
    </row>
    <row r="529" spans="7:12" ht="15.75" customHeight="1" x14ac:dyDescent="0.35">
      <c r="G529" s="2"/>
      <c r="L529" s="2"/>
    </row>
    <row r="530" spans="7:12" ht="15.75" customHeight="1" x14ac:dyDescent="0.35">
      <c r="G530" s="2"/>
      <c r="L530" s="2"/>
    </row>
    <row r="531" spans="7:12" ht="15.75" customHeight="1" x14ac:dyDescent="0.35">
      <c r="G531" s="2"/>
      <c r="L531" s="2"/>
    </row>
    <row r="532" spans="7:12" ht="15.75" customHeight="1" x14ac:dyDescent="0.35">
      <c r="G532" s="2"/>
      <c r="L532" s="2"/>
    </row>
    <row r="533" spans="7:12" ht="15.75" customHeight="1" x14ac:dyDescent="0.35">
      <c r="G533" s="2"/>
      <c r="L533" s="2"/>
    </row>
    <row r="534" spans="7:12" ht="15.75" customHeight="1" x14ac:dyDescent="0.35">
      <c r="G534" s="2"/>
      <c r="L534" s="2"/>
    </row>
    <row r="535" spans="7:12" ht="15.75" customHeight="1" x14ac:dyDescent="0.35">
      <c r="G535" s="2"/>
      <c r="L535" s="2"/>
    </row>
    <row r="536" spans="7:12" ht="15.75" customHeight="1" x14ac:dyDescent="0.35">
      <c r="G536" s="2"/>
      <c r="L536" s="2"/>
    </row>
    <row r="537" spans="7:12" ht="15.75" customHeight="1" x14ac:dyDescent="0.35">
      <c r="G537" s="2"/>
      <c r="L537" s="2"/>
    </row>
    <row r="538" spans="7:12" ht="15.75" customHeight="1" x14ac:dyDescent="0.35">
      <c r="G538" s="2"/>
      <c r="L538" s="2"/>
    </row>
    <row r="539" spans="7:12" ht="15.75" customHeight="1" x14ac:dyDescent="0.35">
      <c r="G539" s="2"/>
      <c r="L539" s="2"/>
    </row>
    <row r="540" spans="7:12" ht="15.75" customHeight="1" x14ac:dyDescent="0.35">
      <c r="G540" s="2"/>
      <c r="L540" s="2"/>
    </row>
    <row r="541" spans="7:12" ht="15.75" customHeight="1" x14ac:dyDescent="0.35">
      <c r="G541" s="2"/>
      <c r="L541" s="2"/>
    </row>
    <row r="542" spans="7:12" ht="15.75" customHeight="1" x14ac:dyDescent="0.35">
      <c r="G542" s="2"/>
      <c r="L542" s="2"/>
    </row>
    <row r="543" spans="7:12" ht="15.75" customHeight="1" x14ac:dyDescent="0.35">
      <c r="G543" s="2"/>
      <c r="L543" s="2"/>
    </row>
    <row r="544" spans="7:12" ht="15.75" customHeight="1" x14ac:dyDescent="0.35">
      <c r="G544" s="2"/>
      <c r="L544" s="2"/>
    </row>
    <row r="545" spans="7:12" ht="15.75" customHeight="1" x14ac:dyDescent="0.35">
      <c r="G545" s="2"/>
      <c r="L545" s="2"/>
    </row>
    <row r="546" spans="7:12" ht="15.75" customHeight="1" x14ac:dyDescent="0.35">
      <c r="G546" s="2"/>
      <c r="L546" s="2"/>
    </row>
    <row r="547" spans="7:12" ht="15.75" customHeight="1" x14ac:dyDescent="0.35">
      <c r="G547" s="2"/>
      <c r="L547" s="2"/>
    </row>
    <row r="548" spans="7:12" ht="15.75" customHeight="1" x14ac:dyDescent="0.35">
      <c r="G548" s="2"/>
      <c r="L548" s="2"/>
    </row>
    <row r="549" spans="7:12" ht="15.75" customHeight="1" x14ac:dyDescent="0.35">
      <c r="G549" s="2"/>
      <c r="L549" s="2"/>
    </row>
    <row r="550" spans="7:12" ht="15.75" customHeight="1" x14ac:dyDescent="0.35">
      <c r="G550" s="2"/>
      <c r="L550" s="2"/>
    </row>
    <row r="551" spans="7:12" ht="15.75" customHeight="1" x14ac:dyDescent="0.35">
      <c r="G551" s="2"/>
      <c r="L551" s="2"/>
    </row>
    <row r="552" spans="7:12" ht="15.75" customHeight="1" x14ac:dyDescent="0.35">
      <c r="G552" s="2"/>
      <c r="L552" s="2"/>
    </row>
    <row r="553" spans="7:12" ht="15.75" customHeight="1" x14ac:dyDescent="0.35">
      <c r="G553" s="2"/>
      <c r="L553" s="2"/>
    </row>
    <row r="554" spans="7:12" ht="15.75" customHeight="1" x14ac:dyDescent="0.35">
      <c r="G554" s="2"/>
      <c r="L554" s="2"/>
    </row>
    <row r="555" spans="7:12" ht="15.75" customHeight="1" x14ac:dyDescent="0.35">
      <c r="G555" s="2"/>
      <c r="L555" s="2"/>
    </row>
    <row r="556" spans="7:12" ht="15.75" customHeight="1" x14ac:dyDescent="0.35">
      <c r="G556" s="2"/>
      <c r="L556" s="2"/>
    </row>
    <row r="557" spans="7:12" ht="15.75" customHeight="1" x14ac:dyDescent="0.35">
      <c r="G557" s="2"/>
      <c r="L557" s="2"/>
    </row>
    <row r="558" spans="7:12" ht="15.75" customHeight="1" x14ac:dyDescent="0.35">
      <c r="G558" s="2"/>
      <c r="L558" s="2"/>
    </row>
    <row r="559" spans="7:12" ht="15.75" customHeight="1" x14ac:dyDescent="0.35">
      <c r="G559" s="2"/>
      <c r="L559" s="2"/>
    </row>
    <row r="560" spans="7:12" ht="15.75" customHeight="1" x14ac:dyDescent="0.35">
      <c r="G560" s="2"/>
      <c r="L560" s="2"/>
    </row>
    <row r="561" spans="7:12" ht="15.75" customHeight="1" x14ac:dyDescent="0.35">
      <c r="G561" s="2"/>
      <c r="L561" s="2"/>
    </row>
    <row r="562" spans="7:12" ht="15.75" customHeight="1" x14ac:dyDescent="0.35">
      <c r="G562" s="2"/>
      <c r="L562" s="2"/>
    </row>
    <row r="563" spans="7:12" ht="15.75" customHeight="1" x14ac:dyDescent="0.35">
      <c r="G563" s="2"/>
      <c r="L563" s="2"/>
    </row>
    <row r="564" spans="7:12" ht="15.75" customHeight="1" x14ac:dyDescent="0.35">
      <c r="G564" s="2"/>
      <c r="L564" s="2"/>
    </row>
    <row r="565" spans="7:12" ht="15.75" customHeight="1" x14ac:dyDescent="0.35">
      <c r="G565" s="2"/>
      <c r="L565" s="2"/>
    </row>
    <row r="566" spans="7:12" ht="15.75" customHeight="1" x14ac:dyDescent="0.35">
      <c r="G566" s="2"/>
      <c r="L566" s="2"/>
    </row>
    <row r="567" spans="7:12" ht="15.75" customHeight="1" x14ac:dyDescent="0.35">
      <c r="G567" s="2"/>
      <c r="L567" s="2"/>
    </row>
    <row r="568" spans="7:12" ht="15.75" customHeight="1" x14ac:dyDescent="0.35">
      <c r="G568" s="2"/>
      <c r="L568" s="2"/>
    </row>
    <row r="569" spans="7:12" ht="15.75" customHeight="1" x14ac:dyDescent="0.35">
      <c r="G569" s="2"/>
      <c r="L569" s="2"/>
    </row>
    <row r="570" spans="7:12" ht="15.75" customHeight="1" x14ac:dyDescent="0.35">
      <c r="G570" s="2"/>
      <c r="L570" s="2"/>
    </row>
    <row r="571" spans="7:12" ht="15.75" customHeight="1" x14ac:dyDescent="0.35">
      <c r="G571" s="2"/>
      <c r="L571" s="2"/>
    </row>
    <row r="572" spans="7:12" ht="15.75" customHeight="1" x14ac:dyDescent="0.35">
      <c r="G572" s="2"/>
      <c r="L572" s="2"/>
    </row>
    <row r="573" spans="7:12" ht="15.75" customHeight="1" x14ac:dyDescent="0.35">
      <c r="G573" s="2"/>
      <c r="L573" s="2"/>
    </row>
    <row r="574" spans="7:12" ht="15.75" customHeight="1" x14ac:dyDescent="0.35">
      <c r="G574" s="2"/>
      <c r="L574" s="2"/>
    </row>
    <row r="575" spans="7:12" ht="15.75" customHeight="1" x14ac:dyDescent="0.35">
      <c r="G575" s="2"/>
      <c r="L575" s="2"/>
    </row>
    <row r="576" spans="7:12" ht="15.75" customHeight="1" x14ac:dyDescent="0.35">
      <c r="G576" s="2"/>
      <c r="L576" s="2"/>
    </row>
    <row r="577" spans="7:12" ht="15.75" customHeight="1" x14ac:dyDescent="0.35">
      <c r="G577" s="2"/>
      <c r="L577" s="2"/>
    </row>
    <row r="578" spans="7:12" ht="15.75" customHeight="1" x14ac:dyDescent="0.35">
      <c r="G578" s="2"/>
      <c r="L578" s="2"/>
    </row>
    <row r="579" spans="7:12" ht="15.75" customHeight="1" x14ac:dyDescent="0.35">
      <c r="G579" s="2"/>
      <c r="L579" s="2"/>
    </row>
    <row r="580" spans="7:12" ht="15.75" customHeight="1" x14ac:dyDescent="0.35">
      <c r="G580" s="2"/>
      <c r="L580" s="2"/>
    </row>
    <row r="581" spans="7:12" ht="15.75" customHeight="1" x14ac:dyDescent="0.35">
      <c r="G581" s="2"/>
      <c r="L581" s="2"/>
    </row>
    <row r="582" spans="7:12" ht="15.75" customHeight="1" x14ac:dyDescent="0.35">
      <c r="G582" s="2"/>
      <c r="L582" s="2"/>
    </row>
    <row r="583" spans="7:12" ht="15.75" customHeight="1" x14ac:dyDescent="0.35">
      <c r="G583" s="2"/>
      <c r="L583" s="2"/>
    </row>
    <row r="584" spans="7:12" ht="15.75" customHeight="1" x14ac:dyDescent="0.35">
      <c r="G584" s="2"/>
      <c r="L584" s="2"/>
    </row>
    <row r="585" spans="7:12" ht="15.75" customHeight="1" x14ac:dyDescent="0.35">
      <c r="G585" s="2"/>
      <c r="L585" s="2"/>
    </row>
    <row r="586" spans="7:12" ht="15.75" customHeight="1" x14ac:dyDescent="0.35">
      <c r="G586" s="2"/>
      <c r="L586" s="2"/>
    </row>
    <row r="587" spans="7:12" ht="15.75" customHeight="1" x14ac:dyDescent="0.35">
      <c r="G587" s="2"/>
      <c r="L587" s="2"/>
    </row>
    <row r="588" spans="7:12" ht="15.75" customHeight="1" x14ac:dyDescent="0.35">
      <c r="G588" s="2"/>
      <c r="L588" s="2"/>
    </row>
    <row r="589" spans="7:12" ht="15.75" customHeight="1" x14ac:dyDescent="0.35">
      <c r="G589" s="2"/>
      <c r="L589" s="2"/>
    </row>
    <row r="590" spans="7:12" ht="15.75" customHeight="1" x14ac:dyDescent="0.35">
      <c r="G590" s="2"/>
      <c r="L590" s="2"/>
    </row>
    <row r="591" spans="7:12" ht="15.75" customHeight="1" x14ac:dyDescent="0.35">
      <c r="G591" s="2"/>
      <c r="L591" s="2"/>
    </row>
    <row r="592" spans="7:12" ht="15.75" customHeight="1" x14ac:dyDescent="0.35">
      <c r="G592" s="2"/>
      <c r="L592" s="2"/>
    </row>
    <row r="593" spans="7:12" ht="15.75" customHeight="1" x14ac:dyDescent="0.35">
      <c r="G593" s="2"/>
      <c r="L593" s="2"/>
    </row>
    <row r="594" spans="7:12" ht="15.75" customHeight="1" x14ac:dyDescent="0.35">
      <c r="G594" s="2"/>
      <c r="L594" s="2"/>
    </row>
    <row r="595" spans="7:12" ht="15.75" customHeight="1" x14ac:dyDescent="0.35">
      <c r="G595" s="2"/>
      <c r="L595" s="2"/>
    </row>
    <row r="596" spans="7:12" ht="15.75" customHeight="1" x14ac:dyDescent="0.35">
      <c r="G596" s="2"/>
      <c r="L596" s="2"/>
    </row>
    <row r="597" spans="7:12" ht="15.75" customHeight="1" x14ac:dyDescent="0.35">
      <c r="G597" s="2"/>
      <c r="L597" s="2"/>
    </row>
    <row r="598" spans="7:12" ht="15.75" customHeight="1" x14ac:dyDescent="0.35">
      <c r="G598" s="2"/>
      <c r="L598" s="2"/>
    </row>
    <row r="599" spans="7:12" ht="15.75" customHeight="1" x14ac:dyDescent="0.35">
      <c r="G599" s="2"/>
      <c r="L599" s="2"/>
    </row>
    <row r="600" spans="7:12" ht="15.75" customHeight="1" x14ac:dyDescent="0.35">
      <c r="G600" s="2"/>
      <c r="L600" s="2"/>
    </row>
    <row r="601" spans="7:12" ht="15.75" customHeight="1" x14ac:dyDescent="0.35">
      <c r="G601" s="2"/>
      <c r="L601" s="2"/>
    </row>
    <row r="602" spans="7:12" ht="15.75" customHeight="1" x14ac:dyDescent="0.35">
      <c r="G602" s="2"/>
      <c r="L602" s="2"/>
    </row>
    <row r="603" spans="7:12" ht="15.75" customHeight="1" x14ac:dyDescent="0.35">
      <c r="G603" s="2"/>
      <c r="L603" s="2"/>
    </row>
    <row r="604" spans="7:12" ht="15.75" customHeight="1" x14ac:dyDescent="0.35">
      <c r="G604" s="2"/>
      <c r="L604" s="2"/>
    </row>
    <row r="605" spans="7:12" ht="15.75" customHeight="1" x14ac:dyDescent="0.35">
      <c r="G605" s="2"/>
      <c r="L605" s="2"/>
    </row>
    <row r="606" spans="7:12" ht="15.75" customHeight="1" x14ac:dyDescent="0.35">
      <c r="G606" s="2"/>
      <c r="L606" s="2"/>
    </row>
    <row r="607" spans="7:12" ht="15.75" customHeight="1" x14ac:dyDescent="0.35">
      <c r="G607" s="2"/>
      <c r="L607" s="2"/>
    </row>
    <row r="608" spans="7:12" ht="15.75" customHeight="1" x14ac:dyDescent="0.35">
      <c r="G608" s="2"/>
      <c r="L608" s="2"/>
    </row>
    <row r="609" spans="7:12" ht="15.75" customHeight="1" x14ac:dyDescent="0.35">
      <c r="G609" s="2"/>
      <c r="L609" s="2"/>
    </row>
    <row r="610" spans="7:12" ht="15.75" customHeight="1" x14ac:dyDescent="0.35">
      <c r="G610" s="2"/>
      <c r="L610" s="2"/>
    </row>
    <row r="611" spans="7:12" ht="15.75" customHeight="1" x14ac:dyDescent="0.35">
      <c r="G611" s="2"/>
      <c r="L611" s="2"/>
    </row>
    <row r="612" spans="7:12" ht="15.75" customHeight="1" x14ac:dyDescent="0.35">
      <c r="G612" s="2"/>
      <c r="L612" s="2"/>
    </row>
    <row r="613" spans="7:12" ht="15.75" customHeight="1" x14ac:dyDescent="0.35">
      <c r="G613" s="2"/>
      <c r="L613" s="2"/>
    </row>
    <row r="614" spans="7:12" ht="15.75" customHeight="1" x14ac:dyDescent="0.35">
      <c r="G614" s="2"/>
      <c r="L614" s="2"/>
    </row>
    <row r="615" spans="7:12" ht="15.75" customHeight="1" x14ac:dyDescent="0.35">
      <c r="G615" s="2"/>
      <c r="L615" s="2"/>
    </row>
    <row r="616" spans="7:12" ht="15.75" customHeight="1" x14ac:dyDescent="0.35">
      <c r="G616" s="2"/>
      <c r="L616" s="2"/>
    </row>
    <row r="617" spans="7:12" ht="15.75" customHeight="1" x14ac:dyDescent="0.35">
      <c r="G617" s="2"/>
      <c r="L617" s="2"/>
    </row>
    <row r="618" spans="7:12" ht="15.75" customHeight="1" x14ac:dyDescent="0.35">
      <c r="G618" s="2"/>
      <c r="L618" s="2"/>
    </row>
    <row r="619" spans="7:12" ht="15.75" customHeight="1" x14ac:dyDescent="0.35">
      <c r="G619" s="2"/>
      <c r="L619" s="2"/>
    </row>
    <row r="620" spans="7:12" ht="15.75" customHeight="1" x14ac:dyDescent="0.35">
      <c r="G620" s="2"/>
      <c r="L620" s="2"/>
    </row>
    <row r="621" spans="7:12" ht="15.75" customHeight="1" x14ac:dyDescent="0.35">
      <c r="G621" s="2"/>
      <c r="L621" s="2"/>
    </row>
    <row r="622" spans="7:12" ht="15.75" customHeight="1" x14ac:dyDescent="0.35">
      <c r="G622" s="2"/>
      <c r="L622" s="2"/>
    </row>
    <row r="623" spans="7:12" ht="15.75" customHeight="1" x14ac:dyDescent="0.35">
      <c r="G623" s="2"/>
      <c r="L623" s="2"/>
    </row>
    <row r="624" spans="7:12" ht="15.75" customHeight="1" x14ac:dyDescent="0.35">
      <c r="G624" s="2"/>
      <c r="L624" s="2"/>
    </row>
    <row r="625" spans="7:12" ht="15.75" customHeight="1" x14ac:dyDescent="0.35">
      <c r="G625" s="2"/>
      <c r="L625" s="2"/>
    </row>
    <row r="626" spans="7:12" ht="15.75" customHeight="1" x14ac:dyDescent="0.35">
      <c r="G626" s="2"/>
      <c r="L626" s="2"/>
    </row>
    <row r="627" spans="7:12" ht="15.75" customHeight="1" x14ac:dyDescent="0.35">
      <c r="G627" s="2"/>
      <c r="L627" s="2"/>
    </row>
    <row r="628" spans="7:12" ht="15.75" customHeight="1" x14ac:dyDescent="0.35">
      <c r="G628" s="2"/>
      <c r="L628" s="2"/>
    </row>
    <row r="629" spans="7:12" ht="15.75" customHeight="1" x14ac:dyDescent="0.35">
      <c r="G629" s="2"/>
      <c r="L629" s="2"/>
    </row>
    <row r="630" spans="7:12" ht="15.75" customHeight="1" x14ac:dyDescent="0.35">
      <c r="G630" s="2"/>
      <c r="L630" s="2"/>
    </row>
    <row r="631" spans="7:12" ht="15.75" customHeight="1" x14ac:dyDescent="0.35">
      <c r="G631" s="2"/>
      <c r="L631" s="2"/>
    </row>
    <row r="632" spans="7:12" ht="15.75" customHeight="1" x14ac:dyDescent="0.35">
      <c r="G632" s="2"/>
      <c r="L632" s="2"/>
    </row>
    <row r="633" spans="7:12" ht="15.75" customHeight="1" x14ac:dyDescent="0.35">
      <c r="G633" s="2"/>
      <c r="L633" s="2"/>
    </row>
    <row r="634" spans="7:12" ht="15.75" customHeight="1" x14ac:dyDescent="0.35">
      <c r="G634" s="2"/>
      <c r="L634" s="2"/>
    </row>
    <row r="635" spans="7:12" ht="15.75" customHeight="1" x14ac:dyDescent="0.35">
      <c r="G635" s="2"/>
      <c r="L635" s="2"/>
    </row>
    <row r="636" spans="7:12" ht="15.75" customHeight="1" x14ac:dyDescent="0.35">
      <c r="G636" s="2"/>
      <c r="L636" s="2"/>
    </row>
    <row r="637" spans="7:12" ht="15.75" customHeight="1" x14ac:dyDescent="0.35">
      <c r="G637" s="2"/>
      <c r="L637" s="2"/>
    </row>
    <row r="638" spans="7:12" ht="15.75" customHeight="1" x14ac:dyDescent="0.35">
      <c r="G638" s="2"/>
      <c r="L638" s="2"/>
    </row>
    <row r="639" spans="7:12" ht="15.75" customHeight="1" x14ac:dyDescent="0.35">
      <c r="G639" s="2"/>
      <c r="L639" s="2"/>
    </row>
    <row r="640" spans="7:12" ht="15.75" customHeight="1" x14ac:dyDescent="0.35">
      <c r="G640" s="2"/>
      <c r="L640" s="2"/>
    </row>
    <row r="641" spans="7:12" ht="15.75" customHeight="1" x14ac:dyDescent="0.35">
      <c r="G641" s="2"/>
      <c r="L641" s="2"/>
    </row>
    <row r="642" spans="7:12" ht="15.75" customHeight="1" x14ac:dyDescent="0.35">
      <c r="G642" s="2"/>
      <c r="L642" s="2"/>
    </row>
    <row r="643" spans="7:12" ht="15.75" customHeight="1" x14ac:dyDescent="0.35">
      <c r="G643" s="2"/>
      <c r="L643" s="2"/>
    </row>
    <row r="644" spans="7:12" ht="15.75" customHeight="1" x14ac:dyDescent="0.35">
      <c r="G644" s="2"/>
      <c r="L644" s="2"/>
    </row>
    <row r="645" spans="7:12" ht="15.75" customHeight="1" x14ac:dyDescent="0.35">
      <c r="G645" s="2"/>
      <c r="L645" s="2"/>
    </row>
    <row r="646" spans="7:12" ht="15.75" customHeight="1" x14ac:dyDescent="0.35">
      <c r="G646" s="2"/>
      <c r="L646" s="2"/>
    </row>
    <row r="647" spans="7:12" ht="15.75" customHeight="1" x14ac:dyDescent="0.35">
      <c r="G647" s="2"/>
      <c r="L647" s="2"/>
    </row>
    <row r="648" spans="7:12" ht="15.75" customHeight="1" x14ac:dyDescent="0.35">
      <c r="G648" s="2"/>
      <c r="L648" s="2"/>
    </row>
    <row r="649" spans="7:12" ht="15.75" customHeight="1" x14ac:dyDescent="0.35">
      <c r="G649" s="2"/>
      <c r="L649" s="2"/>
    </row>
    <row r="650" spans="7:12" ht="15.75" customHeight="1" x14ac:dyDescent="0.35">
      <c r="G650" s="2"/>
      <c r="L650" s="2"/>
    </row>
    <row r="651" spans="7:12" ht="15.75" customHeight="1" x14ac:dyDescent="0.35">
      <c r="G651" s="2"/>
      <c r="L651" s="2"/>
    </row>
    <row r="652" spans="7:12" ht="15.75" customHeight="1" x14ac:dyDescent="0.35">
      <c r="G652" s="2"/>
      <c r="L652" s="2"/>
    </row>
    <row r="653" spans="7:12" ht="15.75" customHeight="1" x14ac:dyDescent="0.35">
      <c r="G653" s="2"/>
      <c r="L653" s="2"/>
    </row>
    <row r="654" spans="7:12" ht="15.75" customHeight="1" x14ac:dyDescent="0.35">
      <c r="G654" s="2"/>
      <c r="L654" s="2"/>
    </row>
    <row r="655" spans="7:12" ht="15.75" customHeight="1" x14ac:dyDescent="0.35">
      <c r="G655" s="2"/>
      <c r="L655" s="2"/>
    </row>
    <row r="656" spans="7:12" ht="15.75" customHeight="1" x14ac:dyDescent="0.35">
      <c r="G656" s="2"/>
      <c r="L656" s="2"/>
    </row>
    <row r="657" spans="7:12" ht="15.75" customHeight="1" x14ac:dyDescent="0.35">
      <c r="G657" s="2"/>
      <c r="L657" s="2"/>
    </row>
    <row r="658" spans="7:12" ht="15.75" customHeight="1" x14ac:dyDescent="0.35">
      <c r="G658" s="2"/>
      <c r="L658" s="2"/>
    </row>
    <row r="659" spans="7:12" ht="15.75" customHeight="1" x14ac:dyDescent="0.35">
      <c r="G659" s="2"/>
      <c r="L659" s="2"/>
    </row>
    <row r="660" spans="7:12" ht="15.75" customHeight="1" x14ac:dyDescent="0.35">
      <c r="G660" s="2"/>
      <c r="L660" s="2"/>
    </row>
    <row r="661" spans="7:12" ht="15.75" customHeight="1" x14ac:dyDescent="0.35">
      <c r="G661" s="2"/>
      <c r="L661" s="2"/>
    </row>
    <row r="662" spans="7:12" ht="15.75" customHeight="1" x14ac:dyDescent="0.35">
      <c r="G662" s="2"/>
      <c r="L662" s="2"/>
    </row>
    <row r="663" spans="7:12" ht="15.75" customHeight="1" x14ac:dyDescent="0.35">
      <c r="G663" s="2"/>
      <c r="L663" s="2"/>
    </row>
    <row r="664" spans="7:12" ht="15.75" customHeight="1" x14ac:dyDescent="0.35">
      <c r="G664" s="2"/>
      <c r="L664" s="2"/>
    </row>
    <row r="665" spans="7:12" ht="15.75" customHeight="1" x14ac:dyDescent="0.35">
      <c r="G665" s="2"/>
      <c r="L665" s="2"/>
    </row>
    <row r="666" spans="7:12" ht="15.75" customHeight="1" x14ac:dyDescent="0.35">
      <c r="G666" s="2"/>
      <c r="L666" s="2"/>
    </row>
    <row r="667" spans="7:12" ht="15.75" customHeight="1" x14ac:dyDescent="0.35">
      <c r="G667" s="2"/>
      <c r="L667" s="2"/>
    </row>
    <row r="668" spans="7:12" ht="15.75" customHeight="1" x14ac:dyDescent="0.35">
      <c r="G668" s="2"/>
      <c r="L668" s="2"/>
    </row>
    <row r="669" spans="7:12" ht="15.75" customHeight="1" x14ac:dyDescent="0.35">
      <c r="G669" s="2"/>
      <c r="L669" s="2"/>
    </row>
    <row r="670" spans="7:12" ht="15.75" customHeight="1" x14ac:dyDescent="0.35">
      <c r="G670" s="2"/>
      <c r="L670" s="2"/>
    </row>
    <row r="671" spans="7:12" ht="15.75" customHeight="1" x14ac:dyDescent="0.35">
      <c r="G671" s="2"/>
      <c r="L671" s="2"/>
    </row>
    <row r="672" spans="7:12" ht="15.75" customHeight="1" x14ac:dyDescent="0.35">
      <c r="G672" s="2"/>
      <c r="L672" s="2"/>
    </row>
    <row r="673" spans="7:12" ht="15.75" customHeight="1" x14ac:dyDescent="0.35">
      <c r="G673" s="2"/>
      <c r="L673" s="2"/>
    </row>
    <row r="674" spans="7:12" ht="15.75" customHeight="1" x14ac:dyDescent="0.35">
      <c r="G674" s="2"/>
      <c r="L674" s="2"/>
    </row>
    <row r="675" spans="7:12" ht="15.75" customHeight="1" x14ac:dyDescent="0.35">
      <c r="G675" s="2"/>
      <c r="L675" s="2"/>
    </row>
    <row r="676" spans="7:12" ht="15.75" customHeight="1" x14ac:dyDescent="0.35">
      <c r="G676" s="2"/>
      <c r="L676" s="2"/>
    </row>
    <row r="677" spans="7:12" ht="15.75" customHeight="1" x14ac:dyDescent="0.35">
      <c r="G677" s="2"/>
      <c r="L677" s="2"/>
    </row>
    <row r="678" spans="7:12" ht="15.75" customHeight="1" x14ac:dyDescent="0.35">
      <c r="G678" s="2"/>
      <c r="L678" s="2"/>
    </row>
    <row r="679" spans="7:12" ht="15.75" customHeight="1" x14ac:dyDescent="0.35">
      <c r="G679" s="2"/>
      <c r="L679" s="2"/>
    </row>
    <row r="680" spans="7:12" ht="15.75" customHeight="1" x14ac:dyDescent="0.35">
      <c r="G680" s="2"/>
      <c r="L680" s="2"/>
    </row>
    <row r="681" spans="7:12" ht="15.75" customHeight="1" x14ac:dyDescent="0.35">
      <c r="G681" s="2"/>
      <c r="L681" s="2"/>
    </row>
    <row r="682" spans="7:12" ht="15.75" customHeight="1" x14ac:dyDescent="0.35">
      <c r="G682" s="2"/>
      <c r="L682" s="2"/>
    </row>
    <row r="683" spans="7:12" ht="15.75" customHeight="1" x14ac:dyDescent="0.35">
      <c r="G683" s="2"/>
      <c r="L683" s="2"/>
    </row>
    <row r="684" spans="7:12" ht="15.75" customHeight="1" x14ac:dyDescent="0.35">
      <c r="G684" s="2"/>
      <c r="L684" s="2"/>
    </row>
    <row r="685" spans="7:12" ht="15.75" customHeight="1" x14ac:dyDescent="0.35">
      <c r="G685" s="2"/>
      <c r="L685" s="2"/>
    </row>
    <row r="686" spans="7:12" ht="15.75" customHeight="1" x14ac:dyDescent="0.35">
      <c r="G686" s="2"/>
      <c r="L686" s="2"/>
    </row>
    <row r="687" spans="7:12" ht="15.75" customHeight="1" x14ac:dyDescent="0.35">
      <c r="G687" s="2"/>
      <c r="L687" s="2"/>
    </row>
    <row r="688" spans="7:12" ht="15.75" customHeight="1" x14ac:dyDescent="0.35">
      <c r="G688" s="2"/>
      <c r="L688" s="2"/>
    </row>
    <row r="689" spans="7:12" ht="15.75" customHeight="1" x14ac:dyDescent="0.35">
      <c r="G689" s="2"/>
      <c r="L689" s="2"/>
    </row>
    <row r="690" spans="7:12" ht="15.75" customHeight="1" x14ac:dyDescent="0.35">
      <c r="G690" s="2"/>
      <c r="L690" s="2"/>
    </row>
    <row r="691" spans="7:12" ht="15.75" customHeight="1" x14ac:dyDescent="0.35">
      <c r="G691" s="2"/>
      <c r="L691" s="2"/>
    </row>
    <row r="692" spans="7:12" ht="15.75" customHeight="1" x14ac:dyDescent="0.35">
      <c r="G692" s="2"/>
      <c r="L692" s="2"/>
    </row>
    <row r="693" spans="7:12" ht="15.75" customHeight="1" x14ac:dyDescent="0.35">
      <c r="G693" s="2"/>
      <c r="L693" s="2"/>
    </row>
    <row r="694" spans="7:12" ht="15.75" customHeight="1" x14ac:dyDescent="0.35">
      <c r="G694" s="2"/>
      <c r="L694" s="2"/>
    </row>
    <row r="695" spans="7:12" ht="15.75" customHeight="1" x14ac:dyDescent="0.35">
      <c r="G695" s="2"/>
      <c r="L695" s="2"/>
    </row>
    <row r="696" spans="7:12" ht="15.75" customHeight="1" x14ac:dyDescent="0.35">
      <c r="G696" s="2"/>
      <c r="L696" s="2"/>
    </row>
    <row r="697" spans="7:12" ht="15.75" customHeight="1" x14ac:dyDescent="0.35">
      <c r="G697" s="2"/>
      <c r="L697" s="2"/>
    </row>
    <row r="698" spans="7:12" ht="15.75" customHeight="1" x14ac:dyDescent="0.35">
      <c r="G698" s="2"/>
      <c r="L698" s="2"/>
    </row>
    <row r="699" spans="7:12" ht="15.75" customHeight="1" x14ac:dyDescent="0.35">
      <c r="G699" s="2"/>
      <c r="L699" s="2"/>
    </row>
    <row r="700" spans="7:12" ht="15.75" customHeight="1" x14ac:dyDescent="0.35">
      <c r="G700" s="2"/>
      <c r="L700" s="2"/>
    </row>
    <row r="701" spans="7:12" ht="15.75" customHeight="1" x14ac:dyDescent="0.35">
      <c r="G701" s="2"/>
      <c r="L701" s="2"/>
    </row>
    <row r="702" spans="7:12" ht="15.75" customHeight="1" x14ac:dyDescent="0.35">
      <c r="G702" s="2"/>
      <c r="L702" s="2"/>
    </row>
    <row r="703" spans="7:12" ht="15.75" customHeight="1" x14ac:dyDescent="0.35">
      <c r="G703" s="2"/>
      <c r="L703" s="2"/>
    </row>
    <row r="704" spans="7:12" ht="15.75" customHeight="1" x14ac:dyDescent="0.35">
      <c r="G704" s="2"/>
      <c r="L704" s="2"/>
    </row>
    <row r="705" spans="7:12" ht="15.75" customHeight="1" x14ac:dyDescent="0.35">
      <c r="G705" s="2"/>
      <c r="L705" s="2"/>
    </row>
    <row r="706" spans="7:12" ht="15.75" customHeight="1" x14ac:dyDescent="0.35">
      <c r="G706" s="2"/>
      <c r="L706" s="2"/>
    </row>
    <row r="707" spans="7:12" ht="15.75" customHeight="1" x14ac:dyDescent="0.35">
      <c r="G707" s="2"/>
      <c r="L707" s="2"/>
    </row>
    <row r="708" spans="7:12" ht="15.75" customHeight="1" x14ac:dyDescent="0.35">
      <c r="G708" s="2"/>
      <c r="L708" s="2"/>
    </row>
    <row r="709" spans="7:12" ht="15.75" customHeight="1" x14ac:dyDescent="0.35">
      <c r="G709" s="2"/>
      <c r="L709" s="2"/>
    </row>
    <row r="710" spans="7:12" ht="15.75" customHeight="1" x14ac:dyDescent="0.35">
      <c r="G710" s="2"/>
      <c r="L710" s="2"/>
    </row>
    <row r="711" spans="7:12" ht="15.75" customHeight="1" x14ac:dyDescent="0.35">
      <c r="G711" s="2"/>
      <c r="L711" s="2"/>
    </row>
    <row r="712" spans="7:12" ht="15.75" customHeight="1" x14ac:dyDescent="0.35">
      <c r="G712" s="2"/>
      <c r="L712" s="2"/>
    </row>
    <row r="713" spans="7:12" ht="15.75" customHeight="1" x14ac:dyDescent="0.35">
      <c r="G713" s="2"/>
      <c r="L713" s="2"/>
    </row>
    <row r="714" spans="7:12" ht="15.75" customHeight="1" x14ac:dyDescent="0.35">
      <c r="G714" s="2"/>
      <c r="L714" s="2"/>
    </row>
    <row r="715" spans="7:12" ht="15.75" customHeight="1" x14ac:dyDescent="0.35">
      <c r="G715" s="2"/>
      <c r="L715" s="2"/>
    </row>
    <row r="716" spans="7:12" ht="15.75" customHeight="1" x14ac:dyDescent="0.35">
      <c r="G716" s="2"/>
      <c r="L716" s="2"/>
    </row>
    <row r="717" spans="7:12" ht="15.75" customHeight="1" x14ac:dyDescent="0.35">
      <c r="G717" s="2"/>
      <c r="L717" s="2"/>
    </row>
    <row r="718" spans="7:12" ht="15.75" customHeight="1" x14ac:dyDescent="0.35">
      <c r="G718" s="2"/>
      <c r="L718" s="2"/>
    </row>
    <row r="719" spans="7:12" ht="15.75" customHeight="1" x14ac:dyDescent="0.35">
      <c r="G719" s="2"/>
      <c r="L719" s="2"/>
    </row>
    <row r="720" spans="7:12" ht="15.75" customHeight="1" x14ac:dyDescent="0.35">
      <c r="G720" s="2"/>
      <c r="L720" s="2"/>
    </row>
    <row r="721" spans="7:12" ht="15.75" customHeight="1" x14ac:dyDescent="0.35">
      <c r="G721" s="2"/>
      <c r="L721" s="2"/>
    </row>
    <row r="722" spans="7:12" ht="15.75" customHeight="1" x14ac:dyDescent="0.35">
      <c r="G722" s="2"/>
      <c r="L722" s="2"/>
    </row>
    <row r="723" spans="7:12" ht="15.75" customHeight="1" x14ac:dyDescent="0.35">
      <c r="G723" s="2"/>
      <c r="L723" s="2"/>
    </row>
    <row r="724" spans="7:12" ht="15.75" customHeight="1" x14ac:dyDescent="0.35">
      <c r="G724" s="2"/>
      <c r="L724" s="2"/>
    </row>
    <row r="725" spans="7:12" ht="15.75" customHeight="1" x14ac:dyDescent="0.35">
      <c r="G725" s="2"/>
      <c r="L725" s="2"/>
    </row>
    <row r="726" spans="7:12" ht="15.75" customHeight="1" x14ac:dyDescent="0.35">
      <c r="G726" s="2"/>
      <c r="L726" s="2"/>
    </row>
    <row r="727" spans="7:12" ht="15.75" customHeight="1" x14ac:dyDescent="0.35">
      <c r="G727" s="2"/>
      <c r="L727" s="2"/>
    </row>
    <row r="728" spans="7:12" ht="15.75" customHeight="1" x14ac:dyDescent="0.35">
      <c r="G728" s="2"/>
      <c r="L728" s="2"/>
    </row>
    <row r="729" spans="7:12" ht="15.75" customHeight="1" x14ac:dyDescent="0.35">
      <c r="G729" s="2"/>
      <c r="L729" s="2"/>
    </row>
    <row r="730" spans="7:12" ht="15.75" customHeight="1" x14ac:dyDescent="0.35">
      <c r="G730" s="2"/>
      <c r="L730" s="2"/>
    </row>
    <row r="731" spans="7:12" ht="15.75" customHeight="1" x14ac:dyDescent="0.35">
      <c r="G731" s="2"/>
      <c r="L731" s="2"/>
    </row>
    <row r="732" spans="7:12" ht="15.75" customHeight="1" x14ac:dyDescent="0.35">
      <c r="G732" s="2"/>
      <c r="L732" s="2"/>
    </row>
    <row r="733" spans="7:12" ht="15.75" customHeight="1" x14ac:dyDescent="0.35">
      <c r="G733" s="2"/>
      <c r="L733" s="2"/>
    </row>
    <row r="734" spans="7:12" ht="15.75" customHeight="1" x14ac:dyDescent="0.35">
      <c r="G734" s="2"/>
      <c r="L734" s="2"/>
    </row>
    <row r="735" spans="7:12" ht="15.75" customHeight="1" x14ac:dyDescent="0.35">
      <c r="G735" s="2"/>
      <c r="L735" s="2"/>
    </row>
    <row r="736" spans="7:12" ht="15.75" customHeight="1" x14ac:dyDescent="0.35">
      <c r="G736" s="2"/>
      <c r="L736" s="2"/>
    </row>
    <row r="737" spans="7:12" ht="15.75" customHeight="1" x14ac:dyDescent="0.35">
      <c r="G737" s="2"/>
      <c r="L737" s="2"/>
    </row>
    <row r="738" spans="7:12" ht="15.75" customHeight="1" x14ac:dyDescent="0.35">
      <c r="G738" s="2"/>
      <c r="L738" s="2"/>
    </row>
    <row r="739" spans="7:12" ht="15.75" customHeight="1" x14ac:dyDescent="0.35">
      <c r="G739" s="2"/>
      <c r="L739" s="2"/>
    </row>
    <row r="740" spans="7:12" ht="15.75" customHeight="1" x14ac:dyDescent="0.35">
      <c r="G740" s="2"/>
      <c r="L740" s="2"/>
    </row>
    <row r="741" spans="7:12" ht="15.75" customHeight="1" x14ac:dyDescent="0.35">
      <c r="G741" s="2"/>
      <c r="L741" s="2"/>
    </row>
    <row r="742" spans="7:12" ht="15.75" customHeight="1" x14ac:dyDescent="0.35">
      <c r="G742" s="2"/>
      <c r="L742" s="2"/>
    </row>
    <row r="743" spans="7:12" ht="15.75" customHeight="1" x14ac:dyDescent="0.35">
      <c r="G743" s="2"/>
      <c r="L743" s="2"/>
    </row>
    <row r="744" spans="7:12" ht="15.75" customHeight="1" x14ac:dyDescent="0.35">
      <c r="G744" s="2"/>
      <c r="L744" s="2"/>
    </row>
    <row r="745" spans="7:12" ht="15.75" customHeight="1" x14ac:dyDescent="0.35">
      <c r="G745" s="2"/>
      <c r="L745" s="2"/>
    </row>
    <row r="746" spans="7:12" ht="15.75" customHeight="1" x14ac:dyDescent="0.35">
      <c r="G746" s="2"/>
      <c r="L746" s="2"/>
    </row>
    <row r="747" spans="7:12" ht="15.75" customHeight="1" x14ac:dyDescent="0.35">
      <c r="G747" s="2"/>
      <c r="L747" s="2"/>
    </row>
    <row r="748" spans="7:12" ht="15.75" customHeight="1" x14ac:dyDescent="0.35">
      <c r="G748" s="2"/>
      <c r="L748" s="2"/>
    </row>
    <row r="749" spans="7:12" ht="15.75" customHeight="1" x14ac:dyDescent="0.35">
      <c r="G749" s="2"/>
      <c r="L749" s="2"/>
    </row>
    <row r="750" spans="7:12" ht="15.75" customHeight="1" x14ac:dyDescent="0.35">
      <c r="G750" s="2"/>
      <c r="L750" s="2"/>
    </row>
    <row r="751" spans="7:12" ht="15.75" customHeight="1" x14ac:dyDescent="0.35">
      <c r="G751" s="2"/>
      <c r="L751" s="2"/>
    </row>
    <row r="752" spans="7:12" ht="15.75" customHeight="1" x14ac:dyDescent="0.35">
      <c r="G752" s="2"/>
      <c r="L752" s="2"/>
    </row>
    <row r="753" spans="7:12" ht="15.75" customHeight="1" x14ac:dyDescent="0.35">
      <c r="G753" s="2"/>
      <c r="L753" s="2"/>
    </row>
    <row r="754" spans="7:12" ht="15.75" customHeight="1" x14ac:dyDescent="0.35">
      <c r="G754" s="2"/>
      <c r="L754" s="2"/>
    </row>
    <row r="755" spans="7:12" ht="15.75" customHeight="1" x14ac:dyDescent="0.35">
      <c r="G755" s="2"/>
      <c r="L755" s="2"/>
    </row>
    <row r="756" spans="7:12" ht="15.75" customHeight="1" x14ac:dyDescent="0.35">
      <c r="G756" s="2"/>
      <c r="L756" s="2"/>
    </row>
    <row r="757" spans="7:12" ht="15.75" customHeight="1" x14ac:dyDescent="0.35">
      <c r="G757" s="2"/>
      <c r="L757" s="2"/>
    </row>
    <row r="758" spans="7:12" ht="15.75" customHeight="1" x14ac:dyDescent="0.35">
      <c r="G758" s="2"/>
      <c r="L758" s="2"/>
    </row>
    <row r="759" spans="7:12" ht="15.75" customHeight="1" x14ac:dyDescent="0.35">
      <c r="G759" s="2"/>
      <c r="L759" s="2"/>
    </row>
    <row r="760" spans="7:12" ht="15.75" customHeight="1" x14ac:dyDescent="0.35">
      <c r="G760" s="2"/>
      <c r="L760" s="2"/>
    </row>
    <row r="761" spans="7:12" ht="15.75" customHeight="1" x14ac:dyDescent="0.35">
      <c r="G761" s="2"/>
      <c r="L761" s="2"/>
    </row>
    <row r="762" spans="7:12" ht="15.75" customHeight="1" x14ac:dyDescent="0.35">
      <c r="G762" s="2"/>
      <c r="L762" s="2"/>
    </row>
    <row r="763" spans="7:12" ht="15.75" customHeight="1" x14ac:dyDescent="0.35">
      <c r="G763" s="2"/>
      <c r="L763" s="2"/>
    </row>
    <row r="764" spans="7:12" ht="15.75" customHeight="1" x14ac:dyDescent="0.35">
      <c r="G764" s="2"/>
      <c r="L764" s="2"/>
    </row>
    <row r="765" spans="7:12" ht="15.75" customHeight="1" x14ac:dyDescent="0.35">
      <c r="G765" s="2"/>
      <c r="L765" s="2"/>
    </row>
    <row r="766" spans="7:12" ht="15.75" customHeight="1" x14ac:dyDescent="0.35">
      <c r="G766" s="2"/>
      <c r="L766" s="2"/>
    </row>
    <row r="767" spans="7:12" ht="15.75" customHeight="1" x14ac:dyDescent="0.35">
      <c r="G767" s="2"/>
      <c r="L767" s="2"/>
    </row>
    <row r="768" spans="7:12" ht="15.75" customHeight="1" x14ac:dyDescent="0.35">
      <c r="G768" s="2"/>
      <c r="L768" s="2"/>
    </row>
    <row r="769" spans="7:12" ht="15.75" customHeight="1" x14ac:dyDescent="0.35">
      <c r="G769" s="2"/>
      <c r="L769" s="2"/>
    </row>
    <row r="770" spans="7:12" ht="15.75" customHeight="1" x14ac:dyDescent="0.35">
      <c r="G770" s="2"/>
      <c r="L770" s="2"/>
    </row>
    <row r="771" spans="7:12" ht="15.75" customHeight="1" x14ac:dyDescent="0.35">
      <c r="G771" s="2"/>
      <c r="L771" s="2"/>
    </row>
    <row r="772" spans="7:12" ht="15.75" customHeight="1" x14ac:dyDescent="0.35">
      <c r="G772" s="2"/>
      <c r="L772" s="2"/>
    </row>
    <row r="773" spans="7:12" ht="15.75" customHeight="1" x14ac:dyDescent="0.35">
      <c r="G773" s="2"/>
      <c r="L773" s="2"/>
    </row>
    <row r="774" spans="7:12" ht="15.75" customHeight="1" x14ac:dyDescent="0.35">
      <c r="G774" s="2"/>
      <c r="L774" s="2"/>
    </row>
    <row r="775" spans="7:12" ht="15.75" customHeight="1" x14ac:dyDescent="0.35">
      <c r="G775" s="2"/>
      <c r="L775" s="2"/>
    </row>
    <row r="776" spans="7:12" ht="15.75" customHeight="1" x14ac:dyDescent="0.35">
      <c r="G776" s="2"/>
      <c r="L776" s="2"/>
    </row>
    <row r="777" spans="7:12" ht="15.75" customHeight="1" x14ac:dyDescent="0.35">
      <c r="G777" s="2"/>
      <c r="L777" s="2"/>
    </row>
    <row r="778" spans="7:12" ht="15.75" customHeight="1" x14ac:dyDescent="0.35">
      <c r="G778" s="2"/>
      <c r="L778" s="2"/>
    </row>
    <row r="779" spans="7:12" ht="15.75" customHeight="1" x14ac:dyDescent="0.35">
      <c r="G779" s="2"/>
      <c r="L779" s="2"/>
    </row>
    <row r="780" spans="7:12" ht="15.75" customHeight="1" x14ac:dyDescent="0.35">
      <c r="G780" s="2"/>
      <c r="L780" s="2"/>
    </row>
    <row r="781" spans="7:12" ht="15.75" customHeight="1" x14ac:dyDescent="0.35">
      <c r="G781" s="2"/>
      <c r="L781" s="2"/>
    </row>
    <row r="782" spans="7:12" ht="15.75" customHeight="1" x14ac:dyDescent="0.35">
      <c r="G782" s="2"/>
      <c r="L782" s="2"/>
    </row>
    <row r="783" spans="7:12" ht="15.75" customHeight="1" x14ac:dyDescent="0.35">
      <c r="G783" s="2"/>
      <c r="L783" s="2"/>
    </row>
    <row r="784" spans="7:12" ht="15.75" customHeight="1" x14ac:dyDescent="0.35">
      <c r="G784" s="2"/>
      <c r="L784" s="2"/>
    </row>
    <row r="785" spans="7:12" ht="15.75" customHeight="1" x14ac:dyDescent="0.35">
      <c r="G785" s="2"/>
      <c r="L785" s="2"/>
    </row>
    <row r="786" spans="7:12" ht="15.75" customHeight="1" x14ac:dyDescent="0.35">
      <c r="G786" s="2"/>
      <c r="L786" s="2"/>
    </row>
    <row r="787" spans="7:12" ht="15.75" customHeight="1" x14ac:dyDescent="0.35">
      <c r="G787" s="2"/>
      <c r="L787" s="2"/>
    </row>
    <row r="788" spans="7:12" ht="15.75" customHeight="1" x14ac:dyDescent="0.35">
      <c r="G788" s="2"/>
      <c r="L788" s="2"/>
    </row>
    <row r="789" spans="7:12" ht="15.75" customHeight="1" x14ac:dyDescent="0.35">
      <c r="G789" s="2"/>
      <c r="L789" s="2"/>
    </row>
    <row r="790" spans="7:12" ht="15.75" customHeight="1" x14ac:dyDescent="0.35">
      <c r="G790" s="2"/>
      <c r="L790" s="2"/>
    </row>
    <row r="791" spans="7:12" ht="15.75" customHeight="1" x14ac:dyDescent="0.35">
      <c r="G791" s="2"/>
      <c r="L791" s="2"/>
    </row>
    <row r="792" spans="7:12" ht="15.75" customHeight="1" x14ac:dyDescent="0.35">
      <c r="G792" s="2"/>
      <c r="L792" s="2"/>
    </row>
    <row r="793" spans="7:12" ht="15.75" customHeight="1" x14ac:dyDescent="0.35">
      <c r="G793" s="2"/>
      <c r="L793" s="2"/>
    </row>
    <row r="794" spans="7:12" ht="15.75" customHeight="1" x14ac:dyDescent="0.35">
      <c r="G794" s="2"/>
      <c r="L794" s="2"/>
    </row>
    <row r="795" spans="7:12" ht="15.75" customHeight="1" x14ac:dyDescent="0.35">
      <c r="G795" s="2"/>
      <c r="L795" s="2"/>
    </row>
    <row r="796" spans="7:12" ht="15.75" customHeight="1" x14ac:dyDescent="0.35">
      <c r="G796" s="2"/>
      <c r="L796" s="2"/>
    </row>
    <row r="797" spans="7:12" ht="15.75" customHeight="1" x14ac:dyDescent="0.35">
      <c r="G797" s="2"/>
      <c r="L797" s="2"/>
    </row>
    <row r="798" spans="7:12" ht="15.75" customHeight="1" x14ac:dyDescent="0.35">
      <c r="G798" s="2"/>
      <c r="L798" s="2"/>
    </row>
    <row r="799" spans="7:12" ht="15.75" customHeight="1" x14ac:dyDescent="0.35">
      <c r="G799" s="2"/>
      <c r="L799" s="2"/>
    </row>
    <row r="800" spans="7:12" ht="15.75" customHeight="1" x14ac:dyDescent="0.35">
      <c r="G800" s="2"/>
      <c r="L800" s="2"/>
    </row>
    <row r="801" spans="7:12" ht="15.75" customHeight="1" x14ac:dyDescent="0.35">
      <c r="G801" s="2"/>
      <c r="L801" s="2"/>
    </row>
    <row r="802" spans="7:12" ht="15.75" customHeight="1" x14ac:dyDescent="0.35">
      <c r="G802" s="2"/>
      <c r="L802" s="2"/>
    </row>
    <row r="803" spans="7:12" ht="15.75" customHeight="1" x14ac:dyDescent="0.35">
      <c r="G803" s="2"/>
      <c r="L803" s="2"/>
    </row>
    <row r="804" spans="7:12" ht="15.75" customHeight="1" x14ac:dyDescent="0.35">
      <c r="G804" s="2"/>
      <c r="L804" s="2"/>
    </row>
    <row r="805" spans="7:12" ht="15.75" customHeight="1" x14ac:dyDescent="0.35">
      <c r="G805" s="2"/>
      <c r="L805" s="2"/>
    </row>
    <row r="806" spans="7:12" ht="15.75" customHeight="1" x14ac:dyDescent="0.35">
      <c r="G806" s="2"/>
      <c r="L806" s="2"/>
    </row>
    <row r="807" spans="7:12" ht="15.75" customHeight="1" x14ac:dyDescent="0.35">
      <c r="G807" s="2"/>
      <c r="L807" s="2"/>
    </row>
    <row r="808" spans="7:12" ht="15.75" customHeight="1" x14ac:dyDescent="0.35">
      <c r="G808" s="2"/>
      <c r="L808" s="2"/>
    </row>
    <row r="809" spans="7:12" ht="15.75" customHeight="1" x14ac:dyDescent="0.35">
      <c r="G809" s="2"/>
      <c r="L809" s="2"/>
    </row>
    <row r="810" spans="7:12" ht="15.75" customHeight="1" x14ac:dyDescent="0.35">
      <c r="G810" s="2"/>
      <c r="L810" s="2"/>
    </row>
    <row r="811" spans="7:12" ht="15.75" customHeight="1" x14ac:dyDescent="0.35">
      <c r="G811" s="2"/>
      <c r="L811" s="2"/>
    </row>
    <row r="812" spans="7:12" ht="15.75" customHeight="1" x14ac:dyDescent="0.35">
      <c r="G812" s="2"/>
      <c r="L812" s="2"/>
    </row>
    <row r="813" spans="7:12" ht="15.75" customHeight="1" x14ac:dyDescent="0.35">
      <c r="G813" s="2"/>
      <c r="L813" s="2"/>
    </row>
    <row r="814" spans="7:12" ht="15.75" customHeight="1" x14ac:dyDescent="0.35">
      <c r="G814" s="2"/>
      <c r="L814" s="2"/>
    </row>
    <row r="815" spans="7:12" ht="15.75" customHeight="1" x14ac:dyDescent="0.35">
      <c r="G815" s="2"/>
      <c r="L815" s="2"/>
    </row>
    <row r="816" spans="7:12" ht="15.75" customHeight="1" x14ac:dyDescent="0.35">
      <c r="G816" s="2"/>
      <c r="L816" s="2"/>
    </row>
    <row r="817" spans="7:12" ht="15.75" customHeight="1" x14ac:dyDescent="0.35">
      <c r="G817" s="2"/>
      <c r="L817" s="2"/>
    </row>
    <row r="818" spans="7:12" ht="15.75" customHeight="1" x14ac:dyDescent="0.35">
      <c r="G818" s="2"/>
      <c r="L818" s="2"/>
    </row>
    <row r="819" spans="7:12" ht="15.75" customHeight="1" x14ac:dyDescent="0.35">
      <c r="G819" s="2"/>
      <c r="L819" s="2"/>
    </row>
    <row r="820" spans="7:12" ht="15.75" customHeight="1" x14ac:dyDescent="0.35">
      <c r="G820" s="2"/>
      <c r="L820" s="2"/>
    </row>
    <row r="821" spans="7:12" ht="15.75" customHeight="1" x14ac:dyDescent="0.35">
      <c r="G821" s="2"/>
      <c r="L821" s="2"/>
    </row>
    <row r="822" spans="7:12" ht="15.75" customHeight="1" x14ac:dyDescent="0.35">
      <c r="G822" s="2"/>
      <c r="L822" s="2"/>
    </row>
    <row r="823" spans="7:12" ht="15.75" customHeight="1" x14ac:dyDescent="0.35">
      <c r="G823" s="2"/>
      <c r="L823" s="2"/>
    </row>
    <row r="824" spans="7:12" ht="15.75" customHeight="1" x14ac:dyDescent="0.35">
      <c r="G824" s="2"/>
      <c r="L824" s="2"/>
    </row>
    <row r="825" spans="7:12" ht="15.75" customHeight="1" x14ac:dyDescent="0.35">
      <c r="G825" s="2"/>
      <c r="L825" s="2"/>
    </row>
    <row r="826" spans="7:12" ht="15.75" customHeight="1" x14ac:dyDescent="0.35">
      <c r="G826" s="2"/>
      <c r="L826" s="2"/>
    </row>
    <row r="827" spans="7:12" ht="15.75" customHeight="1" x14ac:dyDescent="0.35">
      <c r="G827" s="2"/>
      <c r="L827" s="2"/>
    </row>
    <row r="828" spans="7:12" ht="15.75" customHeight="1" x14ac:dyDescent="0.35">
      <c r="G828" s="2"/>
      <c r="L828" s="2"/>
    </row>
    <row r="829" spans="7:12" ht="15.75" customHeight="1" x14ac:dyDescent="0.35">
      <c r="G829" s="2"/>
      <c r="L829" s="2"/>
    </row>
    <row r="830" spans="7:12" ht="15.75" customHeight="1" x14ac:dyDescent="0.35">
      <c r="G830" s="2"/>
      <c r="L830" s="2"/>
    </row>
    <row r="831" spans="7:12" ht="15.75" customHeight="1" x14ac:dyDescent="0.35">
      <c r="G831" s="2"/>
      <c r="L831" s="2"/>
    </row>
    <row r="832" spans="7:12" ht="15.75" customHeight="1" x14ac:dyDescent="0.35">
      <c r="G832" s="2"/>
      <c r="L832" s="2"/>
    </row>
    <row r="833" spans="7:12" ht="15.75" customHeight="1" x14ac:dyDescent="0.35">
      <c r="G833" s="2"/>
      <c r="L833" s="2"/>
    </row>
    <row r="834" spans="7:12" ht="15.75" customHeight="1" x14ac:dyDescent="0.35">
      <c r="G834" s="2"/>
      <c r="L834" s="2"/>
    </row>
    <row r="835" spans="7:12" ht="15.75" customHeight="1" x14ac:dyDescent="0.35">
      <c r="G835" s="2"/>
      <c r="L835" s="2"/>
    </row>
    <row r="836" spans="7:12" ht="15.75" customHeight="1" x14ac:dyDescent="0.35">
      <c r="G836" s="2"/>
      <c r="L836" s="2"/>
    </row>
    <row r="837" spans="7:12" ht="15.75" customHeight="1" x14ac:dyDescent="0.35">
      <c r="G837" s="2"/>
      <c r="L837" s="2"/>
    </row>
    <row r="838" spans="7:12" ht="15.75" customHeight="1" x14ac:dyDescent="0.35">
      <c r="G838" s="2"/>
      <c r="L838" s="2"/>
    </row>
    <row r="839" spans="7:12" ht="15.75" customHeight="1" x14ac:dyDescent="0.35">
      <c r="G839" s="2"/>
      <c r="L839" s="2"/>
    </row>
    <row r="840" spans="7:12" ht="15.75" customHeight="1" x14ac:dyDescent="0.35">
      <c r="G840" s="2"/>
      <c r="L840" s="2"/>
    </row>
    <row r="841" spans="7:12" ht="15.75" customHeight="1" x14ac:dyDescent="0.35">
      <c r="G841" s="2"/>
      <c r="L841" s="2"/>
    </row>
    <row r="842" spans="7:12" ht="15.75" customHeight="1" x14ac:dyDescent="0.35">
      <c r="G842" s="2"/>
      <c r="L842" s="2"/>
    </row>
    <row r="843" spans="7:12" ht="15.75" customHeight="1" x14ac:dyDescent="0.35">
      <c r="G843" s="2"/>
      <c r="L843" s="2"/>
    </row>
    <row r="844" spans="7:12" ht="15.75" customHeight="1" x14ac:dyDescent="0.35">
      <c r="G844" s="2"/>
      <c r="L844" s="2"/>
    </row>
    <row r="845" spans="7:12" ht="15.75" customHeight="1" x14ac:dyDescent="0.35">
      <c r="G845" s="2"/>
      <c r="L845" s="2"/>
    </row>
    <row r="846" spans="7:12" ht="15.75" customHeight="1" x14ac:dyDescent="0.35">
      <c r="G846" s="2"/>
      <c r="L846" s="2"/>
    </row>
    <row r="847" spans="7:12" ht="15.75" customHeight="1" x14ac:dyDescent="0.35">
      <c r="G847" s="2"/>
      <c r="L847" s="2"/>
    </row>
    <row r="848" spans="7:12" ht="15.75" customHeight="1" x14ac:dyDescent="0.35">
      <c r="G848" s="2"/>
      <c r="L848" s="2"/>
    </row>
    <row r="849" spans="7:12" ht="15.75" customHeight="1" x14ac:dyDescent="0.35">
      <c r="G849" s="2"/>
      <c r="L849" s="2"/>
    </row>
    <row r="850" spans="7:12" ht="15.75" customHeight="1" x14ac:dyDescent="0.35">
      <c r="G850" s="2"/>
      <c r="L850" s="2"/>
    </row>
    <row r="851" spans="7:12" ht="15.75" customHeight="1" x14ac:dyDescent="0.35">
      <c r="G851" s="2"/>
      <c r="L851" s="2"/>
    </row>
    <row r="852" spans="7:12" ht="15.75" customHeight="1" x14ac:dyDescent="0.35">
      <c r="G852" s="2"/>
      <c r="L852" s="2"/>
    </row>
    <row r="853" spans="7:12" ht="15.75" customHeight="1" x14ac:dyDescent="0.35">
      <c r="G853" s="2"/>
      <c r="L853" s="2"/>
    </row>
    <row r="854" spans="7:12" ht="15.75" customHeight="1" x14ac:dyDescent="0.35">
      <c r="G854" s="2"/>
      <c r="L854" s="2"/>
    </row>
    <row r="855" spans="7:12" ht="15.75" customHeight="1" x14ac:dyDescent="0.35">
      <c r="G855" s="2"/>
      <c r="L855" s="2"/>
    </row>
    <row r="856" spans="7:12" ht="15.75" customHeight="1" x14ac:dyDescent="0.35">
      <c r="G856" s="2"/>
      <c r="L856" s="2"/>
    </row>
    <row r="857" spans="7:12" ht="15.75" customHeight="1" x14ac:dyDescent="0.35">
      <c r="G857" s="2"/>
      <c r="L857" s="2"/>
    </row>
    <row r="858" spans="7:12" ht="15.75" customHeight="1" x14ac:dyDescent="0.35">
      <c r="G858" s="2"/>
      <c r="L858" s="2"/>
    </row>
    <row r="859" spans="7:12" ht="15.75" customHeight="1" x14ac:dyDescent="0.35">
      <c r="G859" s="2"/>
      <c r="L859" s="2"/>
    </row>
    <row r="860" spans="7:12" ht="15.75" customHeight="1" x14ac:dyDescent="0.35">
      <c r="G860" s="2"/>
      <c r="L860" s="2"/>
    </row>
    <row r="861" spans="7:12" ht="15.75" customHeight="1" x14ac:dyDescent="0.35">
      <c r="G861" s="2"/>
      <c r="L861" s="2"/>
    </row>
    <row r="862" spans="7:12" ht="15.75" customHeight="1" x14ac:dyDescent="0.35">
      <c r="G862" s="2"/>
      <c r="L862" s="2"/>
    </row>
    <row r="863" spans="7:12" ht="15.75" customHeight="1" x14ac:dyDescent="0.35">
      <c r="G863" s="2"/>
      <c r="L863" s="2"/>
    </row>
    <row r="864" spans="7:12" ht="15.75" customHeight="1" x14ac:dyDescent="0.35">
      <c r="G864" s="2"/>
      <c r="L864" s="2"/>
    </row>
    <row r="865" spans="7:12" ht="15.75" customHeight="1" x14ac:dyDescent="0.35">
      <c r="G865" s="2"/>
      <c r="L865" s="2"/>
    </row>
    <row r="866" spans="7:12" ht="15.75" customHeight="1" x14ac:dyDescent="0.35">
      <c r="G866" s="2"/>
      <c r="L866" s="2"/>
    </row>
    <row r="867" spans="7:12" ht="15.75" customHeight="1" x14ac:dyDescent="0.35">
      <c r="G867" s="2"/>
      <c r="L867" s="2"/>
    </row>
    <row r="868" spans="7:12" ht="15.75" customHeight="1" x14ac:dyDescent="0.35">
      <c r="G868" s="2"/>
      <c r="L868" s="2"/>
    </row>
    <row r="869" spans="7:12" ht="15.75" customHeight="1" x14ac:dyDescent="0.35">
      <c r="G869" s="2"/>
      <c r="L869" s="2"/>
    </row>
    <row r="870" spans="7:12" ht="15.75" customHeight="1" x14ac:dyDescent="0.35">
      <c r="G870" s="2"/>
      <c r="L870" s="2"/>
    </row>
    <row r="871" spans="7:12" ht="15.75" customHeight="1" x14ac:dyDescent="0.35">
      <c r="G871" s="2"/>
      <c r="L871" s="2"/>
    </row>
    <row r="872" spans="7:12" ht="15.75" customHeight="1" x14ac:dyDescent="0.35">
      <c r="G872" s="2"/>
      <c r="L872" s="2"/>
    </row>
    <row r="873" spans="7:12" ht="15.75" customHeight="1" x14ac:dyDescent="0.35">
      <c r="G873" s="2"/>
      <c r="L873" s="2"/>
    </row>
    <row r="874" spans="7:12" ht="15.75" customHeight="1" x14ac:dyDescent="0.35">
      <c r="G874" s="2"/>
      <c r="L874" s="2"/>
    </row>
    <row r="875" spans="7:12" ht="15.75" customHeight="1" x14ac:dyDescent="0.35">
      <c r="G875" s="2"/>
      <c r="L875" s="2"/>
    </row>
    <row r="876" spans="7:12" ht="15.75" customHeight="1" x14ac:dyDescent="0.35">
      <c r="G876" s="2"/>
      <c r="L876" s="2"/>
    </row>
    <row r="877" spans="7:12" ht="15.75" customHeight="1" x14ac:dyDescent="0.35">
      <c r="G877" s="2"/>
      <c r="L877" s="2"/>
    </row>
    <row r="878" spans="7:12" ht="15.75" customHeight="1" x14ac:dyDescent="0.35">
      <c r="G878" s="2"/>
      <c r="L878" s="2"/>
    </row>
    <row r="879" spans="7:12" ht="15.75" customHeight="1" x14ac:dyDescent="0.35">
      <c r="G879" s="2"/>
      <c r="L879" s="2"/>
    </row>
    <row r="880" spans="7:12" ht="15.75" customHeight="1" x14ac:dyDescent="0.35">
      <c r="G880" s="2"/>
      <c r="L880" s="2"/>
    </row>
    <row r="881" spans="7:12" ht="15.75" customHeight="1" x14ac:dyDescent="0.35">
      <c r="G881" s="2"/>
      <c r="L881" s="2"/>
    </row>
    <row r="882" spans="7:12" ht="15.75" customHeight="1" x14ac:dyDescent="0.35">
      <c r="G882" s="2"/>
      <c r="L882" s="2"/>
    </row>
    <row r="883" spans="7:12" ht="15.75" customHeight="1" x14ac:dyDescent="0.35">
      <c r="G883" s="2"/>
      <c r="L883" s="2"/>
    </row>
    <row r="884" spans="7:12" ht="15.75" customHeight="1" x14ac:dyDescent="0.35">
      <c r="G884" s="2"/>
      <c r="L884" s="2"/>
    </row>
    <row r="885" spans="7:12" ht="15.75" customHeight="1" x14ac:dyDescent="0.35">
      <c r="G885" s="2"/>
      <c r="L885" s="2"/>
    </row>
    <row r="886" spans="7:12" ht="15.75" customHeight="1" x14ac:dyDescent="0.35">
      <c r="G886" s="2"/>
      <c r="L886" s="2"/>
    </row>
    <row r="887" spans="7:12" ht="15.75" customHeight="1" x14ac:dyDescent="0.35">
      <c r="G887" s="2"/>
      <c r="L887" s="2"/>
    </row>
    <row r="888" spans="7:12" ht="15.75" customHeight="1" x14ac:dyDescent="0.35">
      <c r="G888" s="2"/>
      <c r="L888" s="2"/>
    </row>
    <row r="889" spans="7:12" ht="15.75" customHeight="1" x14ac:dyDescent="0.35">
      <c r="G889" s="2"/>
      <c r="L889" s="2"/>
    </row>
    <row r="890" spans="7:12" ht="15.75" customHeight="1" x14ac:dyDescent="0.35">
      <c r="G890" s="2"/>
      <c r="L890" s="2"/>
    </row>
    <row r="891" spans="7:12" ht="15.75" customHeight="1" x14ac:dyDescent="0.35">
      <c r="G891" s="2"/>
      <c r="L891" s="2"/>
    </row>
    <row r="892" spans="7:12" ht="15.75" customHeight="1" x14ac:dyDescent="0.35">
      <c r="G892" s="2"/>
      <c r="L892" s="2"/>
    </row>
    <row r="893" spans="7:12" ht="15.75" customHeight="1" x14ac:dyDescent="0.35">
      <c r="G893" s="2"/>
      <c r="L893" s="2"/>
    </row>
    <row r="894" spans="7:12" ht="15.75" customHeight="1" x14ac:dyDescent="0.35">
      <c r="G894" s="2"/>
      <c r="L894" s="2"/>
    </row>
    <row r="895" spans="7:12" ht="15.75" customHeight="1" x14ac:dyDescent="0.35">
      <c r="G895" s="2"/>
      <c r="L895" s="2"/>
    </row>
    <row r="896" spans="7:12" ht="15.75" customHeight="1" x14ac:dyDescent="0.35">
      <c r="G896" s="2"/>
      <c r="L896" s="2"/>
    </row>
    <row r="897" spans="7:12" ht="15.75" customHeight="1" x14ac:dyDescent="0.35">
      <c r="G897" s="2"/>
      <c r="L897" s="2"/>
    </row>
    <row r="898" spans="7:12" ht="15.75" customHeight="1" x14ac:dyDescent="0.35">
      <c r="G898" s="2"/>
      <c r="L898" s="2"/>
    </row>
    <row r="899" spans="7:12" ht="15.75" customHeight="1" x14ac:dyDescent="0.35">
      <c r="G899" s="2"/>
      <c r="L899" s="2"/>
    </row>
    <row r="900" spans="7:12" ht="15.75" customHeight="1" x14ac:dyDescent="0.35">
      <c r="G900" s="2"/>
      <c r="L900" s="2"/>
    </row>
    <row r="901" spans="7:12" ht="15.75" customHeight="1" x14ac:dyDescent="0.35">
      <c r="G901" s="2"/>
      <c r="L901" s="2"/>
    </row>
    <row r="902" spans="7:12" ht="15.75" customHeight="1" x14ac:dyDescent="0.35">
      <c r="G902" s="2"/>
      <c r="L902" s="2"/>
    </row>
    <row r="903" spans="7:12" ht="15.75" customHeight="1" x14ac:dyDescent="0.35">
      <c r="G903" s="2"/>
      <c r="L903" s="2"/>
    </row>
    <row r="904" spans="7:12" ht="15.75" customHeight="1" x14ac:dyDescent="0.35">
      <c r="G904" s="2"/>
      <c r="L904" s="2"/>
    </row>
    <row r="905" spans="7:12" ht="15.75" customHeight="1" x14ac:dyDescent="0.35">
      <c r="G905" s="2"/>
      <c r="L905" s="2"/>
    </row>
    <row r="906" spans="7:12" ht="15.75" customHeight="1" x14ac:dyDescent="0.35">
      <c r="G906" s="2"/>
      <c r="L906" s="2"/>
    </row>
    <row r="907" spans="7:12" ht="15.75" customHeight="1" x14ac:dyDescent="0.35">
      <c r="G907" s="2"/>
      <c r="L907" s="2"/>
    </row>
    <row r="908" spans="7:12" ht="15.75" customHeight="1" x14ac:dyDescent="0.35">
      <c r="G908" s="2"/>
      <c r="L908" s="2"/>
    </row>
    <row r="909" spans="7:12" ht="15.75" customHeight="1" x14ac:dyDescent="0.35">
      <c r="G909" s="2"/>
      <c r="L909" s="2"/>
    </row>
    <row r="910" spans="7:12" ht="15.75" customHeight="1" x14ac:dyDescent="0.35">
      <c r="G910" s="2"/>
      <c r="L910" s="2"/>
    </row>
    <row r="911" spans="7:12" ht="15.75" customHeight="1" x14ac:dyDescent="0.35">
      <c r="G911" s="2"/>
      <c r="L911" s="2"/>
    </row>
    <row r="912" spans="7:12" ht="15.75" customHeight="1" x14ac:dyDescent="0.35">
      <c r="G912" s="2"/>
      <c r="L912" s="2"/>
    </row>
    <row r="913" spans="7:12" ht="15.75" customHeight="1" x14ac:dyDescent="0.35">
      <c r="G913" s="2"/>
      <c r="L913" s="2"/>
    </row>
    <row r="914" spans="7:12" ht="15.75" customHeight="1" x14ac:dyDescent="0.35">
      <c r="G914" s="2"/>
      <c r="L914" s="2"/>
    </row>
    <row r="915" spans="7:12" ht="15.75" customHeight="1" x14ac:dyDescent="0.35">
      <c r="G915" s="2"/>
      <c r="L915" s="2"/>
    </row>
    <row r="916" spans="7:12" ht="15.75" customHeight="1" x14ac:dyDescent="0.35">
      <c r="G916" s="2"/>
      <c r="L916" s="2"/>
    </row>
    <row r="917" spans="7:12" ht="15.75" customHeight="1" x14ac:dyDescent="0.35">
      <c r="G917" s="2"/>
      <c r="L917" s="2"/>
    </row>
    <row r="918" spans="7:12" ht="15.75" customHeight="1" x14ac:dyDescent="0.35">
      <c r="G918" s="2"/>
      <c r="L918" s="2"/>
    </row>
    <row r="919" spans="7:12" ht="15.75" customHeight="1" x14ac:dyDescent="0.35">
      <c r="G919" s="2"/>
      <c r="L919" s="2"/>
    </row>
    <row r="920" spans="7:12" ht="15.75" customHeight="1" x14ac:dyDescent="0.35">
      <c r="G920" s="2"/>
      <c r="L920" s="2"/>
    </row>
    <row r="921" spans="7:12" ht="15.75" customHeight="1" x14ac:dyDescent="0.35">
      <c r="G921" s="2"/>
      <c r="L921" s="2"/>
    </row>
    <row r="922" spans="7:12" ht="15.75" customHeight="1" x14ac:dyDescent="0.35">
      <c r="G922" s="2"/>
      <c r="L922" s="2"/>
    </row>
    <row r="923" spans="7:12" ht="15.75" customHeight="1" x14ac:dyDescent="0.35">
      <c r="G923" s="2"/>
      <c r="L923" s="2"/>
    </row>
    <row r="924" spans="7:12" ht="15.75" customHeight="1" x14ac:dyDescent="0.35">
      <c r="G924" s="2"/>
      <c r="L924" s="2"/>
    </row>
    <row r="925" spans="7:12" ht="15.75" customHeight="1" x14ac:dyDescent="0.35">
      <c r="G925" s="2"/>
      <c r="L925" s="2"/>
    </row>
    <row r="926" spans="7:12" ht="15.75" customHeight="1" x14ac:dyDescent="0.35">
      <c r="G926" s="2"/>
      <c r="L926" s="2"/>
    </row>
    <row r="927" spans="7:12" ht="15.75" customHeight="1" x14ac:dyDescent="0.35">
      <c r="G927" s="2"/>
      <c r="L927" s="2"/>
    </row>
    <row r="928" spans="7:12" ht="15.75" customHeight="1" x14ac:dyDescent="0.35">
      <c r="G928" s="2"/>
      <c r="L928" s="2"/>
    </row>
    <row r="929" spans="7:12" ht="15.75" customHeight="1" x14ac:dyDescent="0.35">
      <c r="G929" s="2"/>
      <c r="L929" s="2"/>
    </row>
    <row r="930" spans="7:12" ht="15.75" customHeight="1" x14ac:dyDescent="0.35">
      <c r="G930" s="2"/>
      <c r="L930" s="2"/>
    </row>
    <row r="931" spans="7:12" ht="15.75" customHeight="1" x14ac:dyDescent="0.35">
      <c r="G931" s="2"/>
      <c r="L931" s="2"/>
    </row>
    <row r="932" spans="7:12" ht="15.75" customHeight="1" x14ac:dyDescent="0.35">
      <c r="G932" s="2"/>
      <c r="L932" s="2"/>
    </row>
    <row r="933" spans="7:12" ht="15.75" customHeight="1" x14ac:dyDescent="0.35">
      <c r="G933" s="2"/>
      <c r="L933" s="2"/>
    </row>
    <row r="934" spans="7:12" ht="15.75" customHeight="1" x14ac:dyDescent="0.35">
      <c r="G934" s="2"/>
      <c r="L934" s="2"/>
    </row>
    <row r="935" spans="7:12" ht="15.75" customHeight="1" x14ac:dyDescent="0.35">
      <c r="G935" s="2"/>
      <c r="L935" s="2"/>
    </row>
    <row r="936" spans="7:12" ht="15.75" customHeight="1" x14ac:dyDescent="0.35">
      <c r="G936" s="2"/>
      <c r="L936" s="2"/>
    </row>
    <row r="937" spans="7:12" ht="15.75" customHeight="1" x14ac:dyDescent="0.35">
      <c r="G937" s="2"/>
      <c r="L937" s="2"/>
    </row>
    <row r="938" spans="7:12" ht="15.75" customHeight="1" x14ac:dyDescent="0.35">
      <c r="G938" s="2"/>
      <c r="L938" s="2"/>
    </row>
    <row r="939" spans="7:12" ht="15.75" customHeight="1" x14ac:dyDescent="0.35">
      <c r="G939" s="2"/>
      <c r="L939" s="2"/>
    </row>
    <row r="940" spans="7:12" ht="15.75" customHeight="1" x14ac:dyDescent="0.35">
      <c r="G940" s="2"/>
      <c r="L940" s="2"/>
    </row>
    <row r="941" spans="7:12" ht="15.75" customHeight="1" x14ac:dyDescent="0.35">
      <c r="G941" s="2"/>
      <c r="L941" s="2"/>
    </row>
    <row r="942" spans="7:12" ht="15.75" customHeight="1" x14ac:dyDescent="0.35">
      <c r="G942" s="2"/>
      <c r="L942" s="2"/>
    </row>
    <row r="943" spans="7:12" ht="15.75" customHeight="1" x14ac:dyDescent="0.35">
      <c r="G943" s="2"/>
      <c r="L943" s="2"/>
    </row>
    <row r="944" spans="7:12" ht="15.75" customHeight="1" x14ac:dyDescent="0.35">
      <c r="G944" s="2"/>
      <c r="L944" s="2"/>
    </row>
    <row r="945" spans="7:12" ht="15.75" customHeight="1" x14ac:dyDescent="0.35">
      <c r="G945" s="2"/>
      <c r="L945" s="2"/>
    </row>
    <row r="946" spans="7:12" ht="15.75" customHeight="1" x14ac:dyDescent="0.35">
      <c r="G946" s="2"/>
      <c r="L946" s="2"/>
    </row>
    <row r="947" spans="7:12" ht="15.75" customHeight="1" x14ac:dyDescent="0.35">
      <c r="G947" s="2"/>
      <c r="L947" s="2"/>
    </row>
    <row r="948" spans="7:12" ht="15.75" customHeight="1" x14ac:dyDescent="0.35">
      <c r="G948" s="2"/>
      <c r="L948" s="2"/>
    </row>
    <row r="949" spans="7:12" ht="15.75" customHeight="1" x14ac:dyDescent="0.35">
      <c r="G949" s="2"/>
      <c r="L949" s="2"/>
    </row>
    <row r="950" spans="7:12" ht="15.75" customHeight="1" x14ac:dyDescent="0.35">
      <c r="G950" s="2"/>
      <c r="L950" s="2"/>
    </row>
    <row r="951" spans="7:12" ht="15.75" customHeight="1" x14ac:dyDescent="0.35">
      <c r="G951" s="2"/>
      <c r="L951" s="2"/>
    </row>
    <row r="952" spans="7:12" ht="15.75" customHeight="1" x14ac:dyDescent="0.35">
      <c r="G952" s="2"/>
      <c r="L952" s="2"/>
    </row>
    <row r="953" spans="7:12" ht="15.75" customHeight="1" x14ac:dyDescent="0.35">
      <c r="G953" s="2"/>
      <c r="L953" s="2"/>
    </row>
    <row r="954" spans="7:12" ht="15.75" customHeight="1" x14ac:dyDescent="0.35">
      <c r="G954" s="2"/>
      <c r="L954" s="2"/>
    </row>
    <row r="955" spans="7:12" ht="15.75" customHeight="1" x14ac:dyDescent="0.35">
      <c r="G955" s="2"/>
      <c r="L955" s="2"/>
    </row>
    <row r="956" spans="7:12" ht="15.75" customHeight="1" x14ac:dyDescent="0.35">
      <c r="G956" s="2"/>
      <c r="L956" s="2"/>
    </row>
    <row r="957" spans="7:12" ht="15.75" customHeight="1" x14ac:dyDescent="0.35">
      <c r="G957" s="2"/>
      <c r="L957" s="2"/>
    </row>
    <row r="958" spans="7:12" ht="15.75" customHeight="1" x14ac:dyDescent="0.35">
      <c r="G958" s="2"/>
      <c r="L958" s="2"/>
    </row>
    <row r="959" spans="7:12" ht="15.75" customHeight="1" x14ac:dyDescent="0.35">
      <c r="G959" s="2"/>
      <c r="L959" s="2"/>
    </row>
    <row r="960" spans="7:12" ht="15.75" customHeight="1" x14ac:dyDescent="0.35">
      <c r="G960" s="2"/>
      <c r="L960" s="2"/>
    </row>
    <row r="961" spans="7:12" ht="15.75" customHeight="1" x14ac:dyDescent="0.35">
      <c r="G961" s="2"/>
      <c r="L961" s="2"/>
    </row>
    <row r="962" spans="7:12" ht="15.75" customHeight="1" x14ac:dyDescent="0.35">
      <c r="G962" s="2"/>
      <c r="L962" s="2"/>
    </row>
    <row r="963" spans="7:12" ht="15.75" customHeight="1" x14ac:dyDescent="0.35">
      <c r="G963" s="2"/>
      <c r="L963" s="2"/>
    </row>
    <row r="964" spans="7:12" ht="15.75" customHeight="1" x14ac:dyDescent="0.35">
      <c r="G964" s="2"/>
      <c r="L964" s="2"/>
    </row>
    <row r="965" spans="7:12" ht="15.75" customHeight="1" x14ac:dyDescent="0.35">
      <c r="G965" s="2"/>
      <c r="L965" s="2"/>
    </row>
    <row r="966" spans="7:12" ht="15.75" customHeight="1" x14ac:dyDescent="0.35">
      <c r="G966" s="2"/>
      <c r="L966" s="2"/>
    </row>
    <row r="967" spans="7:12" ht="15.75" customHeight="1" x14ac:dyDescent="0.35">
      <c r="G967" s="2"/>
      <c r="L967" s="2"/>
    </row>
    <row r="968" spans="7:12" ht="15.75" customHeight="1" x14ac:dyDescent="0.35">
      <c r="G968" s="2"/>
      <c r="L968" s="2"/>
    </row>
    <row r="969" spans="7:12" ht="15.75" customHeight="1" x14ac:dyDescent="0.35">
      <c r="G969" s="2"/>
      <c r="L969" s="2"/>
    </row>
    <row r="970" spans="7:12" ht="15.75" customHeight="1" x14ac:dyDescent="0.35">
      <c r="G970" s="2"/>
      <c r="L970" s="2"/>
    </row>
    <row r="971" spans="7:12" ht="15.75" customHeight="1" x14ac:dyDescent="0.35">
      <c r="G971" s="2"/>
      <c r="L971" s="2"/>
    </row>
    <row r="972" spans="7:12" ht="15.75" customHeight="1" x14ac:dyDescent="0.35">
      <c r="G972" s="2"/>
      <c r="L972" s="2"/>
    </row>
    <row r="973" spans="7:12" ht="15.75" customHeight="1" x14ac:dyDescent="0.35">
      <c r="G973" s="2"/>
      <c r="L973" s="2"/>
    </row>
    <row r="974" spans="7:12" ht="15.75" customHeight="1" x14ac:dyDescent="0.35">
      <c r="G974" s="2"/>
      <c r="L974" s="2"/>
    </row>
    <row r="975" spans="7:12" ht="15.75" customHeight="1" x14ac:dyDescent="0.35">
      <c r="G975" s="2"/>
      <c r="L975" s="2"/>
    </row>
    <row r="976" spans="7:12" ht="15.75" customHeight="1" x14ac:dyDescent="0.35">
      <c r="G976" s="2"/>
      <c r="L976" s="2"/>
    </row>
    <row r="977" spans="7:12" ht="15.75" customHeight="1" x14ac:dyDescent="0.35">
      <c r="G977" s="2"/>
      <c r="L977" s="2"/>
    </row>
    <row r="978" spans="7:12" ht="15.75" customHeight="1" x14ac:dyDescent="0.35">
      <c r="G978" s="2"/>
      <c r="L978" s="2"/>
    </row>
    <row r="979" spans="7:12" ht="15.75" customHeight="1" x14ac:dyDescent="0.35">
      <c r="G979" s="2"/>
      <c r="L979" s="2"/>
    </row>
    <row r="980" spans="7:12" ht="15.75" customHeight="1" x14ac:dyDescent="0.35">
      <c r="G980" s="2"/>
      <c r="L980" s="2"/>
    </row>
    <row r="981" spans="7:12" ht="15.75" customHeight="1" x14ac:dyDescent="0.35">
      <c r="G981" s="2"/>
      <c r="L981" s="2"/>
    </row>
    <row r="982" spans="7:12" ht="15.75" customHeight="1" x14ac:dyDescent="0.35">
      <c r="G982" s="2"/>
      <c r="L982" s="2"/>
    </row>
    <row r="983" spans="7:12" ht="15.75" customHeight="1" x14ac:dyDescent="0.35">
      <c r="G983" s="2"/>
      <c r="L983" s="2"/>
    </row>
    <row r="984" spans="7:12" ht="15.75" customHeight="1" x14ac:dyDescent="0.35">
      <c r="G984" s="2"/>
      <c r="L984" s="2"/>
    </row>
    <row r="985" spans="7:12" ht="15.75" customHeight="1" x14ac:dyDescent="0.35">
      <c r="G985" s="2"/>
      <c r="L985" s="2"/>
    </row>
    <row r="986" spans="7:12" ht="15.75" customHeight="1" x14ac:dyDescent="0.35">
      <c r="G986" s="2"/>
      <c r="L986" s="2"/>
    </row>
    <row r="987" spans="7:12" ht="15.75" customHeight="1" x14ac:dyDescent="0.35">
      <c r="G987" s="2"/>
      <c r="L987" s="2"/>
    </row>
    <row r="988" spans="7:12" ht="15.75" customHeight="1" x14ac:dyDescent="0.35">
      <c r="G988" s="2"/>
      <c r="L988" s="2"/>
    </row>
    <row r="989" spans="7:12" ht="15.75" customHeight="1" x14ac:dyDescent="0.35">
      <c r="G989" s="2"/>
      <c r="L989" s="2"/>
    </row>
    <row r="990" spans="7:12" ht="15.75" customHeight="1" x14ac:dyDescent="0.35">
      <c r="G990" s="2"/>
      <c r="L990" s="2"/>
    </row>
    <row r="991" spans="7:12" ht="15.75" customHeight="1" x14ac:dyDescent="0.35">
      <c r="G991" s="2"/>
      <c r="L991" s="2"/>
    </row>
    <row r="992" spans="7:12" ht="15.75" customHeight="1" x14ac:dyDescent="0.35">
      <c r="G992" s="2"/>
      <c r="L992" s="2"/>
    </row>
    <row r="993" spans="7:12" ht="15.75" customHeight="1" x14ac:dyDescent="0.35">
      <c r="G993" s="2"/>
      <c r="L993" s="2"/>
    </row>
    <row r="994" spans="7:12" ht="15.75" customHeight="1" x14ac:dyDescent="0.35">
      <c r="G994" s="2"/>
      <c r="L994" s="2"/>
    </row>
    <row r="995" spans="7:12" ht="15.75" customHeight="1" x14ac:dyDescent="0.35">
      <c r="G995" s="2"/>
      <c r="L995" s="2"/>
    </row>
    <row r="996" spans="7:12" ht="15.75" customHeight="1" x14ac:dyDescent="0.35">
      <c r="G996" s="2"/>
      <c r="L996" s="2"/>
    </row>
    <row r="997" spans="7:12" ht="15.75" customHeight="1" x14ac:dyDescent="0.35">
      <c r="G997" s="2"/>
      <c r="L997" s="2"/>
    </row>
    <row r="998" spans="7:12" ht="15.75" customHeight="1" x14ac:dyDescent="0.35">
      <c r="G998" s="2"/>
      <c r="L998" s="2"/>
    </row>
    <row r="999" spans="7:12" ht="15.75" customHeight="1" x14ac:dyDescent="0.35">
      <c r="G999" s="2"/>
      <c r="L999" s="2"/>
    </row>
    <row r="1000" spans="7:12" ht="15.75" customHeight="1" x14ac:dyDescent="0.35">
      <c r="G1000" s="2"/>
      <c r="L1000" s="2"/>
    </row>
  </sheetData>
  <conditionalFormatting sqref="A1:Z8 A9:B9 D9:F9 I9:Z11 G9:G16 B10:B41 D10:E41 A10:A1000 F10:F1000 I12:J16 K12:Z17 G17:J26 K18:L19 N18:Z19 N20:P25 L20:L56 K20:K1000 N26:O56 P26:P1000 I27:J28 G27:G51 I29:I39 H40 I40:J41 H42:I44 B43:B45 D43:E45 I45:J51 B46:E46 H47:H48 B47:B73 D47:E73 G52:J52 H53:J53 G54:J1000 L57:O1000 B74:E1000">
    <cfRule type="containsText" dxfId="49" priority="1" operator="containsText" text="Focus Group">
      <formula>NOT(ISERROR(SEARCH(("Focus Group"),(A1))))</formula>
    </cfRule>
    <cfRule type="containsText" dxfId="48" priority="2" operator="containsText" text="EOM Checkpoint">
      <formula>NOT(ISERROR(SEARCH(("EOM Checkpoint"),(A1))))</formula>
    </cfRule>
  </conditionalFormatting>
  <conditionalFormatting sqref="A1:Z9 F10:Z11 A10:E41 G12:Z17 F12:F1000 K18:Z19 G18:J26 L20:P25 K20:K1000 L26:O27 P26:P1000 I27:J28 G27:G51 L28:L56 N28:O56 I29:I39 H40 I40:J41 A42 H42:I44 A43:E46 I45:J51 H47:H48 A47:B50 D47:E73 B51:B73 A51:A1000 G52:J52 H53:J53 G54:J1000 L57:O1000 B74:E1000">
    <cfRule type="cellIs" dxfId="47" priority="3" operator="equal">
      <formula>"Presentation"</formula>
    </cfRule>
    <cfRule type="containsText" dxfId="46" priority="4" operator="containsText" text="Research Template">
      <formula>NOT(ISERROR(SEARCH(("Research Template"),(A1))))</formula>
    </cfRule>
  </conditionalFormatting>
  <conditionalFormatting sqref="A1:Z17 G18:Z26 A18:F41 I27:Z32 G27:G39 K33:Z36 I33:J39 L36:L56 N36:O56 K37:K1000 G40:J41 A42 F42:I42 A43:F46 G43:J1000 A47:B50 D47:F50 B51:B73 D51:E73 A51:A1000 F51:F1000 L57:O1000 B74:E1000">
    <cfRule type="containsText" dxfId="45" priority="5" operator="containsText" text="Self Study">
      <formula>NOT(ISERROR(SEARCH(("Self Study"),(A1))))</formula>
    </cfRule>
  </conditionalFormatting>
  <conditionalFormatting sqref="B4:E73">
    <cfRule type="containsText" dxfId="44" priority="6" operator="containsText" text="Covered in">
      <formula>NOT(ISERROR(SEARCH(("Covered in"),(B4))))</formula>
    </cfRule>
  </conditionalFormatting>
  <conditionalFormatting sqref="D42">
    <cfRule type="containsText" dxfId="43" priority="7" operator="containsText" text="Case for Self Study">
      <formula>NOT(ISERROR(SEARCH(("Case for Self Study"),(D42))))</formula>
    </cfRule>
    <cfRule type="cellIs" dxfId="42" priority="8" operator="equal">
      <formula>"Presentation"</formula>
    </cfRule>
    <cfRule type="containsText" dxfId="41" priority="9" operator="containsText" text="Research Template">
      <formula>NOT(ISERROR(SEARCH(("Research Template"),(D42))))</formula>
    </cfRule>
    <cfRule type="containsText" dxfId="40" priority="10" operator="containsText" text="Focus Group">
      <formula>NOT(ISERROR(SEARCH(("Focus Group"),(D42))))</formula>
    </cfRule>
    <cfRule type="containsText" dxfId="39" priority="11" operator="containsText" text="EOM Checkpoint">
      <formula>NOT(ISERROR(SEARCH(("EOM Checkpoint"),(D42))))</formula>
    </cfRule>
  </conditionalFormatting>
  <conditionalFormatting sqref="H16">
    <cfRule type="containsText" dxfId="38" priority="12" operator="containsText" text="Focus Group">
      <formula>NOT(ISERROR(SEARCH(("Focus Group"),(H16))))</formula>
    </cfRule>
    <cfRule type="containsText" dxfId="37" priority="13" operator="containsText" text="EOM Checkpoint">
      <formula>NOT(ISERROR(SEARCH(("EOM Checkpoint"),(H16))))</formula>
    </cfRule>
  </conditionalFormatting>
  <pageMargins left="0.7" right="0.7" top="0.75" bottom="0.75" header="0" footer="0"/>
  <pageSetup orientation="landscape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2026 EOM and Scores</vt:lpstr>
      <vt:lpstr>2025 EOM Declarations</vt:lpstr>
      <vt:lpstr>May Workshop Allocations</vt:lpstr>
      <vt:lpstr>Apr Workshop Allocations</vt:lpstr>
      <vt:lpstr>Mar Workshop Allocations</vt:lpstr>
      <vt:lpstr>2025 Topics Covered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Angela Nguyen</dc:creator>
  <cp:lastModifiedBy>Ken Yu</cp:lastModifiedBy>
  <dcterms:created xsi:type="dcterms:W3CDTF">2025-02-18T21:30:10Z</dcterms:created>
  <dcterms:modified xsi:type="dcterms:W3CDTF">2026-05-10T02:00:55Z</dcterms:modified>
</cp:coreProperties>
</file>